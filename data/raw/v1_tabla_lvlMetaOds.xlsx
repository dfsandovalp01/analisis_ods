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DsDiKudL7SipEUYFQQkiqU5obOzaWkYtI71vReMtCQ="/>
    </ext>
  </extLst>
</workbook>
</file>

<file path=xl/sharedStrings.xml><?xml version="1.0" encoding="utf-8"?>
<sst xmlns="http://schemas.openxmlformats.org/spreadsheetml/2006/main" count="852" uniqueCount="693">
  <si>
    <t>ID_META</t>
  </si>
  <si>
    <t>OBJETIVO</t>
  </si>
  <si>
    <t>DESCRIPCION</t>
  </si>
  <si>
    <t>META</t>
  </si>
  <si>
    <t>ID_OBJETIVO</t>
  </si>
  <si>
    <t>palabras_clave_</t>
  </si>
  <si>
    <t>palabras_clave</t>
  </si>
  <si>
    <t>1.1</t>
  </si>
  <si>
    <t>Poner fin a la pobreza en todas sus formas y en todo el mundo</t>
  </si>
  <si>
    <t>Ingresos, protección social y derechos económicos básicos. Pobreza, pobreza extrema, erradicación de la pobreza, objetivos de desarrollo sostenible, marcos normativos, inversión.  Pobreza extrema, umbral internacional, indigencia. Subsistencia básica, ingreso mínimo vital.</t>
  </si>
  <si>
    <t>De aquí a 2030, erradicar para todas las personas y en todo el mundo la pobreza extrema (actualmente se considera que sufren pobreza extrema las personas que viven con menos de 1,25 dólares de los Estados Unidos al día)</t>
  </si>
  <si>
    <t>pobreza extrema, erradicar, 2030, 1,25 dólares, Objetivos de Desarrollo Sostenible (ODS), Fin de la Pobreza</t>
  </si>
  <si>
    <t>1.2</t>
  </si>
  <si>
    <t>Ingresos, protección social y derechos económicos básicos. Pobreza, pobreza extrema, erradicación de la pobreza, objetivos de desarrollo sostenible, marcos normativos, inversión.  Reducir la proporción de personas que viven en la pobreza en todas sus dimensiones.  Pobreza multidimensional, privaciones materiales.</t>
  </si>
  <si>
    <t>De aquí a 2030, reducir al menos a la mitad la proporción de hombres, mujeres y niños de todas las edades que viven en la pobreza en todas sus dimensiones con arreglo a las definiciones nacionales</t>
  </si>
  <si>
    <t>Pobreza, Reducción, 2030, Pobreza Multidimensional, Metas ODS, Objetivo 1.</t>
  </si>
  <si>
    <t>1.3</t>
  </si>
  <si>
    <t>Ingresos, protección social y derechos económicos básicos. Pobreza, pobreza extrema, erradicación de la pobreza, objetivos de desarrollo sostenible, marcos normativos, inversión.  Cobertura de seguridad social, vulnerables, protección a la vejez/niñez. Subsidios estatales, transferencias condicionadas.</t>
  </si>
  <si>
    <t>Implementar a nivel nacional sistemas y medidas apropiados de protección social para todos, incluidos niveles mínimos, y, de aquí a 2030, lograr una amplia cobertura de las personas pobres y vulnerables</t>
  </si>
  <si>
    <t>protección social, niveles mínimos, cobertura, personas pobres, personas vulnerables, 2030, Objetivo de Desarrollo Sostenible (ODS)</t>
  </si>
  <si>
    <t>1.4</t>
  </si>
  <si>
    <t>Ingresos, protección social y derechos económicos básicos. Pobreza, pobreza extrema, erradicación de la pobreza, objetivos de desarrollo sostenible, marcos normativos, inversión. Acceso a subsidios (insumos, maquinaria, tecnología), formalización de propiedad rural, inclusión financiera, dotación de equipos, piscicultura y especies menores como sustento,,. Tenencia de tierra, microfinanzas.</t>
  </si>
  <si>
    <t>De aquí a 2030, garantizar que todos los hombres y mujeres, en particular los pobres y los vulnerables, tengan los mismos derechos a los recursos económicos y acceso a los servicios básicos, la propiedad y el control de la tierra y otros bienes, la herencia, los recursos naturales, las nuevas tecnologías apropiadas y los servicios financieros, incluida la microfinanciación</t>
  </si>
  <si>
    <t>derechos económicos, servicios básicos, propiedad de la tierra, herencia, recursos naturales, nuevas tecnologías, servicios financieros, microfinanciación, igualdad, 2030, pobres y vulnerables, desarrollo sostenible</t>
  </si>
  <si>
    <t>1.5</t>
  </si>
  <si>
    <t>Ingresos, protección social y derechos económicos básicos. Pobreza, pobreza extrema, erradicación de la pobreza, objetivos de desarrollo sostenible, marcos normativos, inversión. Seguros agropecuarios, protección de inversiones ante cambio climático, resiliencia de pequeños productores. Gestión del riesgo, adaptación a choques económicos.</t>
  </si>
  <si>
    <t>De aquí a 2030, fomentar la resiliencia de los pobres y las personas que se encuentran en situaciones de vulnerabilidad y reducir su exposición y vulnerabilidad a los fenómenos extremos relacionados con el clima y otras perturbaciones y desastres económicos, sociales y ambientales</t>
  </si>
  <si>
    <t>2030, resiliencia, pobres, vulnerabilidad, fenómenos extremos, clima, perturbaciones, desastres económicos, desastres sociales, desastres ambientales, Objetivos de Desarrollo Sostenible (ODS)</t>
  </si>
  <si>
    <t>1.a</t>
  </si>
  <si>
    <t>Ingresos, protección social y derechos económicos básicos. Pobreza, pobreza extrema, erradicación de la pobreza, objetivos de desarrollo sostenible, marcos normativos, inversión.  Cooperación para el desarrollo, recursos financieros para pobreza. Gasto público social.</t>
  </si>
  <si>
    <t>Garantizar una movilización significativa de recursos procedentes de diversas fuentes, incluso mediante la mejora de la cooperación para el desarrollo, a fin de proporcionar medios suficientes y previsibles a los países en desarrollo, en particular los países menos adelantados, para que implementen programas y políticas encaminados a poner fin a la pobreza en todas sus dimensiones</t>
  </si>
  <si>
    <t>Movilización de recursos, Cooperación para el desarrollo, Países en desarrollo, Países menos adelantados, Poner fin a la pobreza, Medios suficientes y previsibles, Programas y políticas.</t>
  </si>
  <si>
    <t>1.b</t>
  </si>
  <si>
    <t>Ingresos, protección social y derechos económicos básicos. Pobreza, pobreza extrema, erradicación de la pobreza, objetivos de desarrollo sostenible, marcos normativos, inversión.  Estrategias de desarrollo inclusivo, políticas pro-pobres. Legislación de derechos sociales.</t>
  </si>
  <si>
    <t>Crear marcos normativos sólidos en los planos nacional, regional e internacional, sobre la base de estrategias de desarrollo en favor de los pobres que tengan en cuenta las cuestiones de género, a fin de apoyar la inversión acelerada en medidas para erradicar la pobreza</t>
  </si>
  <si>
    <t>Marcos normativos, desarrollo, estrategias en favor de los pobres, cuestiones de género, inversión acelerada, erradicar la pobreza, nacional, regional, internacional.</t>
  </si>
  <si>
    <t>10.1</t>
  </si>
  <si>
    <t>Reducir la desigualdad en los países y entre ellos</t>
  </si>
  <si>
    <t>Inclusión y reducción de brechas. Desigualdad, igualdad de oportunidades, políticas fiscales, políticas sociales, migración, movilidad social. Mejorar ingresos de madres cabeza de familia, cierre de brechas socioeconómicas. Desigualdad de ingresos.</t>
  </si>
  <si>
    <t>De aquí a 2030, lograr progresivamente y mantener el crecimiento de los ingresos del 40% más pobre de la población a una tasa superior a la media nacional</t>
  </si>
  <si>
    <t>2030, crecimiento de ingresos, 40% más pobre, población, media nacional, reducir desigualdades, ODS 10</t>
  </si>
  <si>
    <t>10.2</t>
  </si>
  <si>
    <t>Inclusión y reducción de brechas. Desigualdad, igualdad de oportunidades, políticas fiscales, políticas sociales, migración, movilidad social. Inclusión de mineros ancestrales, enfoque diferencial, participación de mujeres, emisora comunitaria incluyente. No discriminación.</t>
  </si>
  <si>
    <t>De aquí a 2030, potenciar y promover la inclusión social, económica y política de todas las personas, independientemente de su edad, sexo, discapacidad, raza, etnia, origen, religión o situación económica u otra condición</t>
  </si>
  <si>
    <t>2030, inclusión social, inclusión económica, inclusión política, desigualdad, edad, sexo, discapacidad, raza, etnia, origen, religión, condición económica, ODS, meta 10.2.</t>
  </si>
  <si>
    <t>10.3</t>
  </si>
  <si>
    <t>Inclusión y reducción de brechas. Desigualdad, igualdad de oportunidades, políticas fiscales, políticas sociales, migración, movilidad social. Fortalecimiento cadena café (implica igualdad de acceso a mercados),. Prácticas discriminatorias, equidad.</t>
  </si>
  <si>
    <t>Garantizar la igualdad de oportunidades y reducir la desigualdad de resultados, incluso eliminando las leyes, políticas y prácticas discriminatorias y promoviendo legislaciones, políticas y medidas adecuadas a ese respecto</t>
  </si>
  <si>
    <t>Igualdad de oportunidades, reducir desigualdad, leyes discriminatorias, políticas discriminatorias, prácticas discriminatorias, legislaciones adecuadas, políticas adecuadas, medidas adecuadas, ODS 10.3, Reducción de las desigualdades.</t>
  </si>
  <si>
    <t>10.4</t>
  </si>
  <si>
    <t>Inclusión y reducción de brechas. Desigualdad, igualdad de oportunidades, políticas fiscales, políticas sociales, migración, movilidad social.  Salarios dignos, redistribución, protección social.</t>
  </si>
  <si>
    <t>Adoptar políticas, especialmente fiscales, salariales y de protección social, y lograr progresivamente una mayor igualdad</t>
  </si>
  <si>
    <t>Políticas, fiscales, salariales, protección social, igualdad, desigualdad, ODS 10.</t>
  </si>
  <si>
    <t>10.5</t>
  </si>
  <si>
    <t>Inclusión y reducción de brechas. Desigualdad, igualdad de oportunidades, políticas fiscales, políticas sociales, migración, movilidad social.  Solidez financiera, regulación bancaria.</t>
  </si>
  <si>
    <t>Mejorar la reglamentación y vigilancia de las instituciones y los mercados financieros mundiales y fortalecer la aplicación de esos reglamentos</t>
  </si>
  <si>
    <t>Reglamentación financiera, Vigilancia financiera, Instituciones financieras mundiales, Mercados financieros, Objetivos de Desarrollo Sostenible (ODS), Fortalecer la aplicación.</t>
  </si>
  <si>
    <t>10.6</t>
  </si>
  <si>
    <t>Inclusión y reducción de brechas. Desigualdad, igualdad de oportunidades, políticas fiscales, políticas sociales, migración, movilidad social.  Gobernanza global, instituciones financieras internacionales.</t>
  </si>
  <si>
    <t>Asegurar una mayor representación e intervención de los países en desarrollo en las decisiones adoptadas por las instituciones económicas y financieras internacionales para aumentar la eficacia, fiabilidad, rendición de cuentas y legitimidad de esas instituciones</t>
  </si>
  <si>
    <t>Países en desarrollo, instituciones económicas y financieras internacionales, representación, intervención, eficacia, fiabilidad, rendición de cuentas, legitimidad, Objetivos de Desarrollo Sostenible (ODS)</t>
  </si>
  <si>
    <t>10.7</t>
  </si>
  <si>
    <t>Inclusión y reducción de brechas. Desigualdad, igualdad de oportunidades, políticas fiscales, políticas sociales, migración, movilidad social.  Políticas migratorias, derechos de migrantes.</t>
  </si>
  <si>
    <t>Facilitar la migración y la movilidad ordenadas, seguras, regulares y responsables de las personas, incluso mediante la aplicación de políticas migratorias planificadas y bien gestionadas</t>
  </si>
  <si>
    <t>Migración, movilidad, segura, ordenada, regular, responsable, políticas migratorias, objetivos de desarrollo sostenible (ODS), gobernanza de la migración.</t>
  </si>
  <si>
    <t>10.a</t>
  </si>
  <si>
    <t>Inclusión y reducción de brechas. Desigualdad, igualdad de oportunidades, políticas fiscales, políticas sociales, migración, movilidad social.  Aranceles, OMC, comercio preferencial.</t>
  </si>
  <si>
    <t>Aplicar el principio del trato especial y diferenciado para los países en desarrollo, en particular los países menos adelantados, de conformidad con los acuerdos de la Organización Mundial del Comercio</t>
  </si>
  <si>
    <t>Trato especial y diferenciado, Países en desarrollo, Países menos adelantados (PMA), Organización Mundial del Comercio (OMC), Acuerdos comerciales, Desarrollo sostenible, Reducción de desigualdades, Cooperación internacional.</t>
  </si>
  <si>
    <t>10.b</t>
  </si>
  <si>
    <t>Inclusión y reducción de brechas. Desigualdad, igualdad de oportunidades, políticas fiscales, políticas sociales, migración, movilidad social.  Inversión extranjera directa, flujos financieros.</t>
  </si>
  <si>
    <t>Fomentar la asistencia oficial para el desarrollo y las corrientes financieras, incluida la inversión extranjera directa, para los Estados con mayores necesidades, en particular los países menos adelantados, los países africanos, los pequeños Estados insulares en desarrollo y los países en desarrollo sin litoral, en consonancia con sus planes y programas nacionales</t>
  </si>
  <si>
    <t>asistencia oficial para el desarrollo, corrientes financieras, inversión extranjera directa, países menos adelantados, países africanos, pequeños Estados insulares en desarrollo, países en desarrollo sin litoral, planes y programas nacionales</t>
  </si>
  <si>
    <t>10.c</t>
  </si>
  <si>
    <t>Inclusión y reducción de brechas. Desigualdad, igualdad de oportunidades, políticas fiscales, políticas sociales, migración, movilidad social. Costos de transacción, remesas.</t>
  </si>
  <si>
    <t>De aquí a 2030, reducir a menos del 3% los costos de transacción de las remesas de los migrantes y eliminar los corredores de remesas con un costo superior al 5%</t>
  </si>
  <si>
    <t>2030
reducir costos
3%
costos de transacción
remesas
migrantes
eliminar corredores
5%
Objetivos de Desarrollo Sostenible (ODS)</t>
  </si>
  <si>
    <t>11.1</t>
  </si>
  <si>
    <t>Lograr que las ciudades y los asentamientos humanos sean inclusivos, seguros, resilientes y sostenibles</t>
  </si>
  <si>
    <t>Asentamientos humanos inclusivos, seguros y resilientes. Ciudades sostenibles, asentamientos humanos, inclusión, seguridad, resiliencia, eficiencia de recursos, desastres, vulnerabilidad. Adjudicación de predios públicos (vivienda/servicios implícito). Barrios marginales, asentamientos informales.</t>
  </si>
  <si>
    <t>De aquí a 2030, asegurar el acceso de todas las personas a viviendas y servicios básicos adecuados, seguros y asequibles y mejorar los barrios marginales</t>
  </si>
  <si>
    <t>Viviendas, servicios básicos, asequibles, seguros, barrios marginales, Objetivo de Desarrollo Sostenible, 2030.</t>
  </si>
  <si>
    <t>11.2</t>
  </si>
  <si>
    <t>Asentamientos humanos inclusivos, seguros y resilientes. Ciudades sostenibles, asentamientos humanos, inclusión, seguridad, resiliencia, eficiencia de recursos, desastres, vulnerabilidad. Transporte público, seguridad vial, movilidad.</t>
  </si>
  <si>
    <t>De aquí a 2030, proporcionar acceso a sistemas de transporte seguros, asequibles, accesibles y sostenibles para todos y mejorar la seguridad vial, en particular mediante la ampliación del transporte público, prestando especial atención a las necesidades de las personas en situación de vulnerabilidad, las mujeres, los niños, las personas con discapacidad y las personas de edad</t>
  </si>
  <si>
    <t>2030
transporte público
transporte seguro
transporte asequible
transporte accesible
transporte sostenible
seguridad vial
personas vulnerables
mujeres
niños
personas con discapacidad
personas de edad
ODS 11.2</t>
  </si>
  <si>
    <t>11.3</t>
  </si>
  <si>
    <t>Asentamientos humanos inclusivos, seguros y resilientes. Ciudades sostenibles, asentamientos humanos, inclusión, seguridad, resiliencia, eficiencia de recursos, desastres, vulnerabilidad. Muelles turísticos (planificación territorial), política pública mujer (participación),. Gestión urbana, uso del suelo.</t>
  </si>
  <si>
    <t>De aquí a 2030, aumentar la urbanización inclusiva y sostenible y la capacidad para la planificación y la gestión participativas, integradas y sostenibles de los asentamientos humanos en todos los países</t>
  </si>
  <si>
    <t>Urbanización, inclusiva, sostenible, planificación, gestión participativa, asentamientos humanos, 2030.</t>
  </si>
  <si>
    <t>11.4</t>
  </si>
  <si>
    <t>Asentamientos humanos inclusivos, seguros y resilientes. Ciudades sostenibles, asentamientos humanos, inclusión, seguridad, resiliencia, eficiencia de recursos, desastres, vulnerabilidad. Turismo ecológico, sitios sagrados, belleza paisajística, emisora comunitaria,,. Conservación patrimonial.</t>
  </si>
  <si>
    <t>Redoblar los esfuerzos para proteger y salvaguardar el patrimonio cultural y natural del mundo</t>
  </si>
  <si>
    <t>Patrimonio cultural, patrimonio natural, protección, salvaguardar, Objetivos de Desarrollo Sostenible, ODS 11.4.</t>
  </si>
  <si>
    <t>11.5</t>
  </si>
  <si>
    <t>Asentamientos humanos inclusivos, seguros y resilientes. Ciudades sostenibles, asentamientos humanos, inclusión, seguridad, resiliencia, eficiencia de recursos, desastres, vulnerabilidad. Primeros auxilios, comités de salud (respuesta a emergencias). Gestión de riesgos de desastre.</t>
  </si>
  <si>
    <t>De aquí a 2030, reducir significativamente el número de muertes causadas por los desastres, incluidos los relacionados con el agua, y de personas afectadas por ellos, y reducir considerablemente las pérdidas económicas directas provocadas por los desastres en comparación con el producto interno bruto mundial, haciendo especial hincapié en la protección de los pobres y las personas en situaciones de vulnerabilidad</t>
  </si>
  <si>
    <t>Objetivos de Desarrollo Sostenible, desastres, pérdidas económicas, reducción de riesgos, vulnerabilidad, protección de los pobres, desastres relacionados con el agua, 2030.</t>
  </si>
  <si>
    <t>11.6</t>
  </si>
  <si>
    <t>Asentamientos humanos inclusivos, seguros y resilientes. Ciudades sostenibles, asentamientos humanos, inclusión, seguridad, resiliencia, eficiencia de recursos, desastres, vulnerabilidad.  Gestión de desechos, calidad del aire urbano.</t>
  </si>
  <si>
    <t>De aquí a 2030, reducir el impacto ambiental negativo per cápita de las ciudades, incluso prestando especial atención a la calidad del aire y la gestión de los desechos municipales y de otro tipo</t>
  </si>
  <si>
    <t>ODS, Meta 2030, impacto ambiental negativo, per cápita, ciudades, calidad del aire, gestión de desechos, desechos municipales.</t>
  </si>
  <si>
    <t>11.7</t>
  </si>
  <si>
    <t>Asentamientos humanos inclusivos, seguros y resilientes. Ciudades sostenibles, asentamientos humanos, inclusión, seguridad, resiliencia, eficiencia de recursos, desastres, vulnerabilidad. Protección de líderes (seguridad en el territorio). Espacios públicos, parques, seguridad ciudadana.</t>
  </si>
  <si>
    <t>De aquí a 2030, proporcionar acceso universal a zonas verdes y espacios públicos seguros, inclusivos y accesibles, en particular para las mujeres y los niños, las personas de edad y las personas con discapacidad</t>
  </si>
  <si>
    <t>2030, acceso universal, zonas verdes, espacios públicos, seguros, inclusivos, accesibles, mujeres, niños, personas de edad, personas con discapacidad, ODS, meta 11.7</t>
  </si>
  <si>
    <t>11.a</t>
  </si>
  <si>
    <t>Asentamientos humanos inclusivos, seguros y resilientes. Ciudades sostenibles, asentamientos humanos, inclusión, seguridad, resiliencia, eficiencia de recursos, desastres, vulnerabilidad.  Planificación del desarrollo nacional/regional.</t>
  </si>
  <si>
    <t>Apoyar los vínculos económicos, sociales y ambientales positivos entre las zonas urbanas, periurbanas y rurales fortaleciendo la planificación del desarrollo nacional y regional</t>
  </si>
  <si>
    <t>Vínculos urbano-rurales, desarrollo sostenible, planificación del desarrollo, desarrollo nacional, desarrollo regional, aspectos económicos, sociales y ambientales.</t>
  </si>
  <si>
    <t>11.b</t>
  </si>
  <si>
    <t>Asentamientos humanos inclusivos, seguros y resilientes. Ciudades sostenibles, asentamientos humanos, inclusión, seguridad, resiliencia, eficiencia de recursos, desastres, vulnerabilidad.  Reducción riesgo desastres (Marco Sendai).</t>
  </si>
  <si>
    <t>De aquí a 2020, aumentar considerablemente el número de ciudades y asentamientos humanos que adoptan e implementan políticas y planes integrados para promover la inclusión, el uso eficiente de los recursos, la mitigación del cambio climático y la adaptación a él y la resiliencia ante los desastres, y desarrollar y poner en práctica, en consonancia con el Marco de Sendái para la Reducción del Riesgo de Desastres 2015‑2030, la gestión integral de los riesgos de desastre a todos los niveles</t>
  </si>
  <si>
    <t>ciudades, asentamientos humanos, políticas integradas, inclusión, uso eficiente de recursos, mitigación del cambio climático, adaptación al cambio climático, resiliencia, desastres, Marco de Sendái, gestión integral de riesgos de desastre, ODS 11</t>
  </si>
  <si>
    <t>11.c</t>
  </si>
  <si>
    <t>Asentamientos humanos inclusivos, seguros y resilientes. Ciudades sostenibles, asentamientos humanos, inclusión, seguridad, resiliencia, eficiencia de recursos, desastres, vulnerabilidad.  Materiales locales, edificios resilientes.</t>
  </si>
  <si>
    <t>Proporcionar apoyo a los países menos adelantados, incluso mediante asistencia financiera y técnica, para que puedan construir edificios sostenibles y resilientes utilizando materiales locales</t>
  </si>
  <si>
    <t>Países menos adelantados, asistencia financiera, asistencia técnica, edificios sostenibles, edificios resilientes, materiales locales, Objetivos de Desarrollo Sostenible (ODS), Infraestructura, Desarrollo sostenible, Cooperación técnica y financiera.</t>
  </si>
  <si>
    <t>12.1</t>
  </si>
  <si>
    <t>Garantizar modalidades de consumo y producción sostenibles</t>
  </si>
  <si>
    <t>Gestión de recursos, residuos y consumo sostenible. consumo sostenible, producción sostenible, gestión ecológica de desechos, desechos químicos, reducción de desechos, prácticas sostenibles, empresas.  Planes de acción nacionales, consumo sostenible.</t>
  </si>
  <si>
    <t>Aplicar el Marco Decenal de Programas sobre Modalidades de Consumo y Producción Sostenibles, con la participación de todos los países y bajo el liderazgo de los países desarrollados, teniendo en cuenta el grado de desarrollo y las capacidades de los países en desarrollo</t>
  </si>
  <si>
    <t>Marco Decenal de Programas, Consumo Sostenible, Producción Sostenible, Objetivos de Desarrollo Sostenible (ODS), países desarrollados, países en desarrollo, cooperación internacional.</t>
  </si>
  <si>
    <t>12.2</t>
  </si>
  <si>
    <t>Gestión de recursos, residuos y consumo sostenible. consumo sostenible, producción sostenible, gestión ecológica de desechos, desechos químicos, reducción de desechos, prácticas sostenibles, empresas. Minería responsable, tecnologías limpias, ganadería sostenible, bancos de semillas, piscicultura, sustitución de ilícitos. Huella material.</t>
  </si>
  <si>
    <t>De aquí a 2030, lograr la gestión sostenible y el uso eficiente de los recursos naturales</t>
  </si>
  <si>
    <t>2030, gestión sostenible, uso eficiente, recursos naturales, Objetivos de Desarrollo Sostenible (ODS), Agenda 2030.</t>
  </si>
  <si>
    <t>12.3</t>
  </si>
  <si>
    <t>Gestión de recursos, residuos y consumo sostenible. consumo sostenible, producción sostenible, gestión ecológica de desechos, desechos químicos, reducción de desechos, prácticas sostenibles, empresas. Centros de acopio, galerías, postcosecha, cadena de frío. Pérdidas postcosecha.</t>
  </si>
  <si>
    <t>De aquí a 2030, reducir a la mitad el desperdicio de alimentos per cápita mundial en la venta al por menor y a nivel de los consumidores y reducir las pérdidas de alimentos en las cadenas de producción y suministro, incluidas las pérdidas posteriores a la cosecha</t>
  </si>
  <si>
    <t>2030, desperdicio de alimentos, pérdidas de alimentos, per cápita, venta al por menor, consumidores, cadenas de producción y suministro, pérdidas posteriores a la cosecha, ODS 12.3.</t>
  </si>
  <si>
    <t>12.4</t>
  </si>
  <si>
    <t>Gestión de recursos, residuos y consumo sostenible. consumo sostenible, producción sostenible, gestión ecológica de desechos, desechos químicos, reducción de desechos, prácticas sostenibles, empresas. Capacitación en abonos/plaguicidas orgánicos, minimizar agroquímicos, transformación de frutales,. Residuos peligrosos.</t>
  </si>
  <si>
    <t>De aquí a 2020, lograr la gestión ecológicamente racional de los productos químicos y de todos los desechos a lo largo de su ciclo de vida, de conformidad con los marcos internacionales convenidos, y reducir significativamente su liberación a la atmósfera, el agua y el suelo a fin de minimizar sus efectos adversos en la salud humana y el medio ambiente</t>
  </si>
  <si>
    <t>Gestión ecológicamente racional, productos químicos, desechos, ciclo de vida, marcos internacionales, atmósfera, agua, suelo, salud humana, medio ambiente, ODS 12.4.</t>
  </si>
  <si>
    <t>12.5</t>
  </si>
  <si>
    <t>Gestión de recursos, residuos y consumo sostenible. consumo sostenible, producción sostenible, gestión ecológica de desechos, desechos químicos, reducción de desechos, prácticas sostenibles, empresas.  Reciclaje, economía circular.</t>
  </si>
  <si>
    <t>De aquí a 2030, reducir considerablemente la generación de desechos mediante actividades de prevención, reducción, reciclado y reutilización</t>
  </si>
  <si>
    <t>ODS 12.5, desechos, prevención, reducción, reciclado, reutilización, 2030, desarrollo sostenible.</t>
  </si>
  <si>
    <t>12.6</t>
  </si>
  <si>
    <t>Gestión de recursos, residuos y consumo sostenible. consumo sostenible, producción sostenible, gestión ecológica de desechos, desechos químicos, reducción de desechos, prácticas sostenibles, empresas. 	
 Informes de sostenibilidad, responsabilidad social empresarial.</t>
  </si>
  <si>
    <t>Alentar a las empresas, en especial las grandes empresas y las empresas transnacionales, a que adopten prácticas sostenibles e incorporen información sobre la sostenibilidad en su ciclo de presentación de informes</t>
  </si>
  <si>
    <t>Empresas, prácticas sostenibles, grandes empresas, empresas transnacionales, informes de sostenibilidad, ciclo de presentación de informes, Objetivos de Desarrollo Sostenible (ODS).</t>
  </si>
  <si>
    <t>12.7</t>
  </si>
  <si>
    <t>Gestión de recursos, residuos y consumo sostenible. consumo sostenible, producción sostenible, gestión ecológica de desechos, desechos químicos, reducción de desechos, prácticas sostenibles, empresas. 	
 Compras públicas verdes.</t>
  </si>
  <si>
    <t>Promover prácticas de adquisición pública que sean sostenibles, de conformidad con las políticas y prioridades nacionales</t>
  </si>
  <si>
    <t>Adquisición pública, sostenible, políticas nacionales, prioridades nacionales, Objetivo de Desarrollo Sostenible (ODS)</t>
  </si>
  <si>
    <t>12.8</t>
  </si>
  <si>
    <t>Gestión de recursos, residuos y consumo sostenible. consumo sostenible, producción sostenible, gestión ecológica de desechos, desechos químicos, reducción de desechos, prácticas sostenibles, empresas. Recuperación de saberes ancestrales, educación para producción orgánica. Conciencia ambiental.</t>
  </si>
  <si>
    <t>De aquí a 2030, asegurar que las personas de todo el mundo tengan la información y los conocimientos pertinentes para el desarrollo sostenible y los estilos de vida en armonía con la naturaleza</t>
  </si>
  <si>
    <t>2030, información, conocimientos, desarrollo sostenible, estilos de vida, armonía con la naturaleza, metas ODS, educación.</t>
  </si>
  <si>
    <t>12.a</t>
  </si>
  <si>
    <t>Gestión de recursos, residuos y consumo sostenible. consumo sostenible, producción sostenible, gestión ecológica de desechos, desechos químicos, reducción de desechos, prácticas sostenibles, empresas.  Tecnologías ecológicamente racionales.</t>
  </si>
  <si>
    <t>Ayudar a los países en desarrollo a fortalecer su capacidad científica y tecnológica para avanzar hacia modalidades de consumo y producción más sostenibles</t>
  </si>
  <si>
    <t>países en desarrollo, capacidad científica, capacidad tecnológica, consumo sostenible, producción sostenible, Objetivos de Desarrollo Sostenible (ODS)</t>
  </si>
  <si>
    <t>12.b</t>
  </si>
  <si>
    <t>Gestión de recursos, residuos y consumo sostenible. consumo sostenible, producción sostenible, gestión ecológica de desechos, desechos químicos, reducción de desechos, prácticas sostenibles, empresas. Acondicionamiento de muelles turísticos (seguimiento impacto). Monitoreo turismo sostenible.</t>
  </si>
  <si>
    <t>Elaborar y aplicar instrumentos para vigilar los efectos en el desarrollo sostenible, a fin de lograr un turismo sostenible que cree puestos de trabajo y promueva la cultura y los productos locales</t>
  </si>
  <si>
    <t>Turismo sostenible, Desarrollo sostenible, Puestos de trabajo, Cultura, Productos locales, Instrumentos de vigilancia, Objetivos de Desarrollo Sostenible (ODS)</t>
  </si>
  <si>
    <t>12.c</t>
  </si>
  <si>
    <t>Gestión de recursos, residuos y consumo sostenible. consumo sostenible, producción sostenible, gestión ecológica de desechos, desechos químicos, reducción de desechos, prácticas sostenibles, empresas.  Subsidios combustibles, distorsiones mercado.</t>
  </si>
  <si>
    <t>Racionalizar los subsidios ineficientes a los combustibles fósiles que fomentan el consumo antieconómico eliminando las distorsiones del mercado, de acuerdo con las circunstancias nacionales, incluso mediante la reestructuración de los sistemas tributarios y la eliminación gradual de los subsidios perjudiciales, cuando existan, para reflejar su impacto ambiental, teniendo plenamente en cuenta las necesidades y condiciones específicas de los países en desarrollo y minimizando los posibles efectos adversos en su desarrollo, de manera que se proteja a los pobres y a las comunidades afectadas</t>
  </si>
  <si>
    <t>Subsidios ineficientes, combustibles fósiles, consumo antieconómico, distorsiones del mercado, sistemas tributarios, eliminación gradual, impacto ambiental, países en desarrollo, protección a los pobres, comunidades afectadas.</t>
  </si>
  <si>
    <t>13.1</t>
  </si>
  <si>
    <t>Adoptar medidas urgentes para combatir el cambio climático y sus efectos</t>
  </si>
  <si>
    <t>Lucha contra el cambio climático. Acción por el clima, cambio climático, medidas urgentes, mitigación, adaptación, educación, capacidad institucional, reducción de efectos, alerta temprana.Seguros agropecuarios, protección de inversiones ante fenómenos naturales, distrito de riego (resiliencia sequía). Desastres naturales.</t>
  </si>
  <si>
    <t>Fortalecer la resiliencia y la capacidad de adaptación a los riesgos relacionados con el clima y los desastres naturales en todos los países</t>
  </si>
  <si>
    <t>Resiliencia, adaptación, riesgos climáticos, desastres naturales, Objetivos de Desarrollo Sostenible (ODS).</t>
  </si>
  <si>
    <t>13.2</t>
  </si>
  <si>
    <t>Lucha contra el cambio climático. Acción por el clima, cambio climático, medidas urgentes, mitigación, adaptación, educación, capacidad institucional, reducción de efectos, alerta temprana.Ganadería silvopastoril (mitigación), conservación de bosques y agua. Estrategias nacionales clima.</t>
  </si>
  <si>
    <t>Incorporar medidas relativas al cambio climático en las políticas, estrategias y planes nacionales</t>
  </si>
  <si>
    <t>Cambio climático, políticas nacionales, estrategias, planes, ODS, gobernanza climática, desarrollo sostenible, adaptación, mitigación.</t>
  </si>
  <si>
    <t>13.3</t>
  </si>
  <si>
    <t>Lucha contra el cambio climático. Acción por el clima, cambio climático, medidas urgentes, mitigación, adaptación, educación, capacidad institucional, reducción de efectos, alerta temprana. Turismo ecológico (sensibilización ambiental), capacitación en abonos orgánicos,. Mitigación y adaptación.</t>
  </si>
  <si>
    <t>Mejorar la educación, la sensibilización y la capacidad humana e institucional respecto de la mitigación del cambio climático, la adaptación a él, la reducción de sus efectos y la alerta temprana</t>
  </si>
  <si>
    <t>Educación, Sensibilización, Capacidad institucional, Mitigación, Adaptación, Cambio Climático, Reducción de efectos, Alerta temprana, Objetivos de Desarrollo Sostenible (ODS).</t>
  </si>
  <si>
    <t>13.a</t>
  </si>
  <si>
    <t>Lucha contra el cambio climático. Acción por el clima, cambio climático, medidas urgentes, mitigación, adaptación, educación, capacidad institucional, reducción de efectos, alerta temprana. Financiación climática.</t>
  </si>
  <si>
    <t>Cumplir el compromiso de los países desarrollados que son partes en la Convención Marco de las Naciones Unidas sobre el Cambio Climático de lograr para el año 2020 el objetivo de movilizar conjuntamente 100.000 millones de dólares anuales procedentes de todas las fuentes a fin de atender las necesidades de los países en desarrollo respecto de la adopción de medidas concretas de mitigación y la transparencia de su aplicación, y poner en pleno funcionamiento el Fondo Verde para el Clima capitalizándolo lo antes posible</t>
  </si>
  <si>
    <t>países desarrollados, Convención Marco de las Naciones Unidas sobre el Cambio Climático, 2020, 100.000 millones de dólares anuales, países en desarrollo, mitigación, transparencia, Fondo Verde para el Clima, capitalización</t>
  </si>
  <si>
    <t>13.b</t>
  </si>
  <si>
    <t>Lucha contra el cambio climático. Acción por el clima, cambio climático, medidas urgentes, mitigación, adaptación, educación, capacidad institucional, reducción de efectos, alerta temprana. Capacidad de gestión cambio climático.</t>
  </si>
  <si>
    <t>Promover mecanismos para aumentar la capacidad para la planificación y gestión eficaces en relación con el cambio climático en los países menos adelantados y los pequeños Estados insulares en desarrollo, haciendo particular hincapié en las mujeres, los jóvenes y las comunidades locales y marginadas</t>
  </si>
  <si>
    <t>Capacidad, planificación, gestión, cambio climático, países menos adelantados (PMA), pequeños Estados insulares en desarrollo (PEID), mujeres, jóvenes, comunidades locales, comunidades marginadas, ODS.</t>
  </si>
  <si>
    <t>14.1</t>
  </si>
  <si>
    <t>Conservar y utilizar sosteniblemente los océanos, los mares y los recursos marinos para el desarrollo sostenible</t>
  </si>
  <si>
    <t>Océanos, mares y recursos marinos. Conservación, uso sostenible, océanos, mares, recursos marinos, desarrollo sostenible, gestión científica, poblaciones de peces, zonas costeras, zonas marinas.  Polución por nutrientes, detritos plásticos.</t>
  </si>
  <si>
    <t>De aquí a 2025, prevenir y reducir significativamente la contaminación marina de todo tipo, en particular la producida por actividades realizadas en tierra, incluidos los detritos marinos y la polución por nutrientes</t>
  </si>
  <si>
    <t>Contaminación marina, reducir contaminación, detritos marinos, polución por nutrientes, actividades en tierra, 2025, prevención, ODS.</t>
  </si>
  <si>
    <t>14.2</t>
  </si>
  <si>
    <t>Océanos, mares y recursos marinos. Conservación, uso sostenible, océanos, mares, recursos marinos, desarrollo sostenible, gestión científica, poblaciones de peces, zonas costeras, zonas marinas. Piscicultura sostenible, repoblación de especies nativas en ríos y represa. Salud de los océanos/ríos.</t>
  </si>
  <si>
    <t>De aquí a 2020, gestionar y proteger sosteniblemente los ecosistemas marinos y costeros para evitar efectos adversos importantes, incluso fortaleciendo su resiliencia, y adoptar medidas para restaurarlos a fin de restablecer la salud y la productividad de los océanos</t>
  </si>
  <si>
    <t>Ecosistemas marinos, ecosistemas costeros, gestión sostenible, protección, resiliencia, restauración, salud de los océanos, productividad de los océanos, ODS 14.</t>
  </si>
  <si>
    <t>14.3</t>
  </si>
  <si>
    <t>Océanos, mares y recursos marinos. Conservación, uso sostenible, océanos, mares, recursos marinos, desarrollo sostenible, gestión científica, poblaciones de peces, zonas costeras, zonas marinas. Acidificación, pH del agua.</t>
  </si>
  <si>
    <t>Minimizar y abordar los efectos de la acidificación de los océanos, incluso mediante una mayor cooperación científica a todos los niveles</t>
  </si>
  <si>
    <t>Acidificación de los océanos, cooperación científica, SDG, Objetivo 14, vida submarina.</t>
  </si>
  <si>
    <t>14.4</t>
  </si>
  <si>
    <t>Océanos, mares y recursos marinos. Conservación, uso sostenible, océanos, mares, recursos marinos, desarrollo sostenible, gestión científica, poblaciones de peces, zonas costeras, zonas marinas. Producción de tilapia y cachama (pesca reglamentada/cultivo). Pesca ilegal no declarada.</t>
  </si>
  <si>
    <t>De aquí a 2020, reglamentar eficazmente la explotación pesquera y poner fin a la pesca excesiva, la pesca ilegal, no declarada y no reglamentada y las prácticas pesqueras destructivas, y aplicar planes de gestión con fundamento científico a fin de restablecer las poblaciones de peces en el plazo más breve posible, al menos alcanzando niveles que puedan producir el máximo rendimiento sostenible de acuerdo con sus características biológicas</t>
  </si>
  <si>
    <t>Explotación pesquera, Pesca excesiva, Pesca ilegal, Pesca no declarada y no reglamentada, Prácticas pesqueras destructivas, Planes de gestión, Poblaciones de peces, Máximo rendimiento sostenible, Características biológicas.</t>
  </si>
  <si>
    <t>14.5</t>
  </si>
  <si>
    <t>Océanos, mares y recursos marinos. Conservación, uso sostenible, océanos, mares, recursos marinos, desarrollo sostenible, gestión científica, poblaciones de peces, zonas costeras, zonas marinas.  Áreas marinas protegidas.</t>
  </si>
  <si>
    <t>De aquí a 2020, conservar al menos el 10% de las zonas costeras y marinas, de conformidad con las leyes nacionales y el derecho internacional y sobre la base de la mejor información científica disponible</t>
  </si>
  <si>
    <t>Conservación, zonas costeras, zonas marinas, 10%, leyes nacionales, derecho internacional, información científica, Objetivos de Desarrollo Sostenible (ODS), Meta 14.5.</t>
  </si>
  <si>
    <t>14.6</t>
  </si>
  <si>
    <t>Océanos, mares y recursos marinos. Conservación, uso sostenible, océanos, mares, recursos marinos, desarrollo sostenible, gestión científica, poblaciones de peces, zonas costeras, zonas marinas. 	
 Subsidios pesqueros perjudiciales.</t>
  </si>
  <si>
    <t>De aquí a 2020, prohibir ciertas formas de subvenciones a la pesca que contribuyen a la sobrecapacidad y la pesca excesiva, eliminar las subvenciones que contribuyen a la pesca ilegal, no declarada y no reglamentada y abstenerse de introducir nuevas subvenciones de esa índole, reconociendo que la negociación sobre las subvenciones a la pesca en el marco de la Organización Mundial del Comercio debe incluir un trato especial y diferenciado, apropiado y efectivo para los países en desarrollo y los países menos adelantados3</t>
  </si>
  <si>
    <t>Subvenciones a la pesca, sobrecapacidad, pesca excesiva, pesca ilegal no declarada y no reglamentada (INDNR), Organización Mundial del Comercio (OMC), trato especial y diferenciado, países en desarrollo, ODS 14.6.</t>
  </si>
  <si>
    <t>14.7</t>
  </si>
  <si>
    <t>Océanos, mares y recursos marinos. Conservación, uso sostenible, océanos, mares, recursos marinos, desarrollo sostenible, gestión científica, poblaciones de peces, zonas costeras, zonas marinas.  Piscicultura en jaulas flotantes (beneficio económico local), pesca artesanal,. Acuicultura sostenible.</t>
  </si>
  <si>
    <t>De aquí a 2030, aumentar los beneficios económicos que los pequeños Estados insulares en desarrollo y los países menos adelantados obtienen del uso sostenible de los recursos marinos, en particular mediante la gestión sostenible de la pesca, la acuicultura y el turismo</t>
  </si>
  <si>
    <t>2030, beneficios económicos, pequeños Estados insulares en desarrollo (PEID), países menos adelantados (PMA), recursos marinos, gestión sostenible, pesca, acuicultura, turismo, Objetivos de Desarrollo Sostenible (ODS)</t>
  </si>
  <si>
    <t>14.a</t>
  </si>
  <si>
    <t>Océanos, mares y recursos marinos. Conservación, uso sostenible, océanos, mares, recursos marinos, desarrollo sostenible, gestión científica, poblaciones de peces, zonas costeras, zonas marinas.  Investigación oceanográfica.</t>
  </si>
  <si>
    <t>Aumentar los conocimientos científicos, desarrollar la capacidad de investigación y transferir tecnología marina, teniendo en cuenta los Criterios y Directrices para la Transferencia de Tecnología Marina de la Comisión Oceanográfica Intergubernamental, a fin de mejorar la salud de los océanos y potenciar la contribución de la biodiversidad marina al desarrollo de los países en desarrollo, en particular los pequeños Estados insulares en desarrollo y los países menos adelantados</t>
  </si>
  <si>
    <t>Conocimientos científicos
Capacidad de investigación
Transferencia de tecnología marina
Salud de los océanos
Biodiversidad marina
Desarrollo sostenible
Países en desarrollo
Pequeños Estados Insulares en Desarrollo (PEID)
Países menos adelantados
Comisión Oceanográfica Intergubernamental (COI)</t>
  </si>
  <si>
    <t>14.b</t>
  </si>
  <si>
    <t>Océanos, mares y recursos marinos. Conservación, uso sostenible, océanos, mares, recursos marinos, desarrollo sostenible, gestión científica, poblaciones de peces, zonas costeras, zonas marinas.  Pesca a pequeña escala.</t>
  </si>
  <si>
    <t>Facilitar el acceso de los pescadores artesanales a los recursos marinos y los mercados</t>
  </si>
  <si>
    <t>pesca artesanal, acceso a recursos marinos, acceso a mercados, desarrollo sostenible, pescadores en pequeña escala, seguridad alimentaria, reducción de la pobreza, gobernanza pesquera.</t>
  </si>
  <si>
    <t>14.c</t>
  </si>
  <si>
    <t>Océanos, mares y recursos marinos. Conservación, uso sostenible, océanos, mares, recursos marinos, desarrollo sostenible, gestión científica, poblaciones de peces, zonas costeras, zonas marinas.  Marco jurídico océanos.</t>
  </si>
  <si>
    <t>Mejorar la conservación y el uso sostenible de los océanos y sus recursos aplicando el derecho internacional reflejado en la Convención de las Naciones Unidas sobre el Derecho del Mar, que constituye el marco jurídico para la conservación y la utilización sostenible de los océanos y sus recursos, como se recuerda en el párrafo 158 del documento “El futuro que queremos”</t>
  </si>
  <si>
    <t>Conservación océanos, uso sostenible, derecho internacional, Convención de las Naciones Unidas sobre el Derecho del Mar (CONVEMAR), recursos marinos, marco jurídico.</t>
  </si>
  <si>
    <t>15.1</t>
  </si>
  <si>
    <t>Proteger, restablecer y promover el uso sostenible de los ecosistemas terrestres, gestionar sosteniblemente los bosques, luchar contra la desertificación, detener e invertir la degradación de las tierras y detener la pérdida de biodiversidad</t>
  </si>
  <si>
    <t>Bosques, biodiversidad, suelos y degradación. Ecosistemas terrestres, bosques, desertificación, degradación de las tierras, biodiversidad, caza furtiva, tráfico de especies protegidas, desarrollo sostenible. Protección de bosques, fuentes hídricas (Salvajina), turismo ecológico, minería responsable. Bosques, humedales, montañas.</t>
  </si>
  <si>
    <t>De aquí a 2020, asegurar la conservación, el restablecimiento y el uso sostenible de los ecosistemas terrestres y los ecosistemas interiores de agua dulce y sus servicios, en particular los bosques, los humedales, las montañas y las zonas áridas, en consonancia con las obligaciones contraídas en virtud de acuerdos internacionales</t>
  </si>
  <si>
    <t>conservación, restablecimiento, uso sostenible, ecosistemas terrestres, ecosistemas interiores de agua dulce, servicios, bosques, humedales, montañas, zonas áridas, acuerdos internacionales, ODS 15</t>
  </si>
  <si>
    <t>15.2</t>
  </si>
  <si>
    <t>Bosques, biodiversidad, suelos y degradación. Ecosistemas terrestres, bosques, desertificación, degradación de las tierras, biodiversidad, caza furtiva, tráfico de especies protegidas, desarrollo sostenible.  Reforestación, gestión forestal.</t>
  </si>
  <si>
    <t>De aquí a 2020, promover la puesta en práctica de la gestión sostenible de todos los tipos de bosques, detener la deforestación, recuperar los bosques degradados y aumentar considerablemente la forestación y la reforestación a nivel mundial</t>
  </si>
  <si>
    <t>Gestión sostenible de bosques, Deforestación, Recuperación de bosques degradados, Forestación, Reforestación, Objetivos de Desarrollo Sostenible (ODS), Bosques.</t>
  </si>
  <si>
    <t>15.3</t>
  </si>
  <si>
    <t>Bosques, biodiversidad, suelos y degradación. Ecosistemas terrestres, bosques, desertificación, degradación de las tierras, biodiversidad, caza furtiva, tráfico de especies protegidas, desarrollo sostenible.Recuperación de suelos (sustitución de ilícitos), ganadería silvopastoril, diversificación agrícola. Degradación de tierras.</t>
  </si>
  <si>
    <t>De aquí a 2030, luchar contra la desertificación, rehabilitar las tierras y los suelos degradados, incluidas las tierras afectadas por la desertificación, la sequía y las inundaciones, y procurar lograr un mundo con efecto neutro en la degradación de las tierras</t>
  </si>
  <si>
    <t>2030, desertificación, rehabilitación de tierras, suelos degradados, sequía, inundaciones, degradación de las tierras, efecto neutro, Objetivos de Desarrollo Sostenible (ODS)</t>
  </si>
  <si>
    <t>15.4</t>
  </si>
  <si>
    <t>Bosques, biodiversidad, suelos y degradación. Ecosistemas terrestres, bosques, desertificación, degradación de las tierras, biodiversidad, caza furtiva, tráfico de especies protegidas, desarrollo sostenible.  Biodiversidad de montañas, cobertura verde.</t>
  </si>
  <si>
    <t>De aquí a 2030, asegurar la conservación de los ecosistemas montañosos, incluida su diversidad biológica, a fin de mejorar su capacidad de proporcionar beneficios esenciales para el desarrollo sostenible</t>
  </si>
  <si>
    <t>2030, conservación, ecosistemas montañosos, diversidad biológica, desarrollo sostenible, beneficios esenciales.</t>
  </si>
  <si>
    <t>15.5</t>
  </si>
  <si>
    <t>Bosques, biodiversidad, suelos y degradación. Ecosistemas terrestres, bosques, desertificación, degradación de las tierras, biodiversidad, caza furtiva, tráfico de especies protegidas, desarrollo sostenible.Especies menores (avicultura/apicultura - biodiversidad productiva). Especies amenazadas, extinción.</t>
  </si>
  <si>
    <t>Adoptar medidas urgentes y significativas para reducir la degradación de los hábitats naturales, detener la pérdida de biodiversidad y, de aquí a 2020, proteger las especies amenazadas y evitar su extinción</t>
  </si>
  <si>
    <t>Medidas urgentes, degradación de hábitats naturales, pérdida de biodiversidad, especies amenazadas, extinción, proteger.</t>
  </si>
  <si>
    <t>15.6</t>
  </si>
  <si>
    <t>Bosques, biodiversidad, suelos y degradación. Ecosistemas terrestres, bosques, desertificación, degradación de las tierras, biodiversidad, caza furtiva, tráfico de especies protegidas, desarrollo sostenible.Bancos de semillas nativas, intercambio de semillas. Acceso a recursos genéticos.</t>
  </si>
  <si>
    <t>Promover la participación justa y equitativa en los beneficios derivados de la utilización de los recursos genéticos y promover el acceso adecuado a esos recursos, según lo convenido internacionalmente</t>
  </si>
  <si>
    <t>Participación justa y equitativa, beneficios, recursos genéticos, acceso, convenido internacionalmente, ODS 15.6, biodiversidad, desarrollo sostenible.</t>
  </si>
  <si>
    <t>15.7</t>
  </si>
  <si>
    <t>Bosques, biodiversidad, suelos y degradación. Ecosistemas terrestres, bosques, desertificación, degradación de las tierras, biodiversidad, caza furtiva, tráfico de especies protegidas, desarrollo sostenible. Flora y fauna silvestre ilegal.</t>
  </si>
  <si>
    <t>Adoptar medidas urgentes para poner fin a la caza furtiva y el tráfico de especies protegidas de flora y fauna y abordar tanto la demanda como la oferta de productos ilegales de flora y fauna silvestres</t>
  </si>
  <si>
    <t>Caza furtiva, tráfico de especies, flora y fauna protegidas, demanda, oferta, productos ilegales, vida silvestre, ODS, conservación.</t>
  </si>
  <si>
    <t>15.8</t>
  </si>
  <si>
    <t>Bosques, biodiversidad, suelos y degradación. Ecosistemas terrestres, bosques, desertificación, degradación de las tierras, biodiversidad, caza furtiva, tráfico de especies protegidas, desarrollo sostenible. Control de especies invasoras.</t>
  </si>
  <si>
    <t>De aquí a 2020, adoptar medidas para prevenir la introducción de especies exóticas invasoras y reducir significativamente sus efectos en los ecosistemas terrestres y acuáticos y controlar o erradicar las especies prioritarias</t>
  </si>
  <si>
    <t>Especies exóticas invasoras, prevención, reducción de efectos, ecosistemas terrestres, ecosistemas acuáticos, control, erradicación, especies prioritarias, desarrollo sostenible, metas.</t>
  </si>
  <si>
    <t>15.9</t>
  </si>
  <si>
    <t>Bosques, biodiversidad, suelos y degradación. Ecosistemas terrestres, bosques, desertificación, degradación de las tierras, biodiversidad, caza furtiva, tráfico de especies protegidas, desarrollo sostenible.	
 Contabilidad ambiental, valoración biodiversidad.</t>
  </si>
  <si>
    <t>De aquí a 2020, integrar los valores de los ecosistemas y la biodiversidad en la planificación, los procesos de desarrollo, las estrategias de reducción de la pobreza y la contabilidad nacionales y locales</t>
  </si>
  <si>
    <t>Ecosistemas, biodiversidad, planificación, desarrollo, reducción de la pobreza, contabilidad nacional, contabilidad local, metas de desarrollo sostenible.</t>
  </si>
  <si>
    <t>15.a</t>
  </si>
  <si>
    <t>Bosques, biodiversidad, suelos y degradación. Ecosistemas terrestres, bosques, desertificación, degradación de las tierras, biodiversidad, caza furtiva, tráfico de especies protegidas, desarrollo sostenible. Financiación conservación.</t>
  </si>
  <si>
    <t>Movilizar y aumentar significativamente los recursos financieros procedentes de todas las fuentes para conservar y utilizar de forma sostenible la biodiversidad y los ecosistemas</t>
  </si>
  <si>
    <t>recursos financieros, conservación, uso sostenible, biodiversidad, ecosistemas, ODS, meta de desarrollo sostenible, movilizar recursos.</t>
  </si>
  <si>
    <t>15.b</t>
  </si>
  <si>
    <t>Bosques, biodiversidad, suelos y degradación. Ecosistemas terrestres, bosques, desertificación, degradación de las tierras, biodiversidad, caza furtiva, tráfico de especies protegidas, desarrollo sostenible.  Incentivos reforestación.</t>
  </si>
  <si>
    <t>Movilizar recursos considerables de todas las fuentes y a todos los niveles para financiar la gestión forestal sostenible y proporcionar incentivos adecuados a los países en desarrollo para que promuevan dicha gestión, en particular con miras a la conservación y la reforestación</t>
  </si>
  <si>
    <t>recursos, financiación, gestión forestal sostenible, incentivos, países en desarrollo, conservación, reforestación, ODS 15.B</t>
  </si>
  <si>
    <t>15.c</t>
  </si>
  <si>
    <t>Bosques, biodiversidad, suelos y degradación. Ecosistemas terrestres, bosques, desertificación, degradación de las tierras, biodiversidad, caza furtiva, tráfico de especies protegidas, desarrollo sostenible.  Capacidad contra tráfico de especies.</t>
  </si>
  <si>
    <t>Aumentar el apoyo mundial a la lucha contra la caza furtiva y el tráfico de especies protegidas, incluso aumentando la capacidad de las comunidades locales para perseguir oportunidades de subsistencia sostenibles</t>
  </si>
  <si>
    <t>Caza furtiva, tráfico de especies, especies protegidas, subsistencia sostenibles, comunidades locales, apoyo mundial, ODS.</t>
  </si>
  <si>
    <t>16.1</t>
  </si>
  <si>
    <t>Promover sociedades pacíficas e inclusivas para el desarrollo sostenible, facilitar el acceso a la justicia para todos y construir a todos los niveles instituciones eficaces e inclusivas que rindan cuentas</t>
  </si>
  <si>
    <t>Sociedades pacíficas, justicia e instituciones eficaces. Sociedades pacíficas, inclusivas, desarrollo sostenible, acceso a la justicia, instituciones eficaces, responsables, inclusivas, reducción de violencia, reducción de corrupción, soborno, fortalecimiento institucional. Sustitución de cultivos ilícitos (contexto de paz), protección de líderes sociales y defensores DDHH,. Homicidios, conflictos.</t>
  </si>
  <si>
    <t>Reducir significativamente todas las formas de violencia y las correspondientes tasas de mortalidad en todo el mundo</t>
  </si>
  <si>
    <t>Violencia
Mortalidad
Reducción
Paz
Justicia
ODS 16</t>
  </si>
  <si>
    <t>16.10</t>
  </si>
  <si>
    <t>Sociedades pacíficas, justicia e instituciones eficaces. Sociedades pacíficas, inclusivas, desarrollo sostenible, acceso a la justicia, instituciones eficaces, responsables, inclusivas, reducción de violencia, reducción de corrupción, soborno, fortalecimiento institucional. Emisora comunitaria, comunicación para la paz. Libertad de prensa, derechos humanos.</t>
  </si>
  <si>
    <t>Garantizar el acceso público a la información y proteger las libertades fundamentales, de conformidad con las leyes nacionales y los acuerdos internacionales</t>
  </si>
  <si>
    <t>Acceso a la información, Libertades fundamentales, Leyes nacionales, Acuerdos internacionales, ODS 16.10, Paz, Justicia, Instituciones sólidas.</t>
  </si>
  <si>
    <t>16.2</t>
  </si>
  <si>
    <t>Sociedades pacíficas, justicia e instituciones eficaces. Sociedades pacíficas, inclusivas, desarrollo sostenible, acceso a la justicia, instituciones eficaces, responsables, inclusivas, reducción de violencia, reducción de corrupción, soborno, fortalecimiento institucional. Protección infantil, trata de niños.</t>
  </si>
  <si>
    <t>Poner fin al maltrato, la explotación, la trata y todas las formas de violencia y tortura contra los niños</t>
  </si>
  <si>
    <t>Maltrato infantil, Explotación infantil, Trata de niños, Violencia contra los niños, Tortura, Objetivos de Desarrollo Sostenible (ODS)</t>
  </si>
  <si>
    <t>16.3</t>
  </si>
  <si>
    <t>Sociedades pacíficas, justicia e instituciones eficaces. Sociedades pacíficas, inclusivas, desarrollo sostenible, acceso a la justicia, instituciones eficaces, responsables, inclusivas, reducción de violencia, reducción de corrupción, soborno, fortalecimiento institucional.Reconocimiento de minería ancestral, campesinado como sujeto de derecho,. Justicia para todos, impunidad.</t>
  </si>
  <si>
    <t>Promover el estado de derecho en los planos nacional e internacional y garantizar la igualdad de acceso a la justicia para todos</t>
  </si>
  <si>
    <t>Estado de derecho, justicia, igualdad de acceso, planos nacional e internacional, Objetivos de Desarrollo Sostenible (ODS)</t>
  </si>
  <si>
    <t>16.4</t>
  </si>
  <si>
    <t>Sociedades pacíficas, justicia e instituciones eficaces. Sociedades pacíficas, inclusivas, desarrollo sostenible, acceso a la justicia, instituciones eficaces, responsables, inclusivas, reducción de violencia, reducción de corrupción, soborno, fortalecimiento institucional. Lavado de activos, tráfico de armas.</t>
  </si>
  <si>
    <t>De aquí a 2030, reducir significativamente las corrientes financieras y de armas ilícitas, fortalecer la recuperación y devolución de los activos robados y luchar contra todas las formas de delincuencia organizada</t>
  </si>
  <si>
    <t>Corrientes financieras ilícitas, armas ilícitas, activos robados, recuperación de activos, devolución de activos, delincuencia organizada, ODS 16.4, 2030.</t>
  </si>
  <si>
    <t>16.5</t>
  </si>
  <si>
    <t>Sociedades pacíficas, justicia e instituciones eficaces. Sociedades pacíficas, inclusivas, desarrollo sostenible, acceso a la justicia, instituciones eficaces, responsables, inclusivas, reducción de violencia, reducción de corrupción, soborno, fortalecimiento institucional. Transparencia, anticorrupción.</t>
  </si>
  <si>
    <t>Reducir considerablemente la corrupción y el soborno en todas sus formas</t>
  </si>
  <si>
    <t>corrupción, soborno, reducción, ODS, gobernanza, transparencia</t>
  </si>
  <si>
    <t>16.6</t>
  </si>
  <si>
    <t>Sociedades pacíficas, justicia e instituciones eficaces. Sociedades pacíficas, inclusivas, desarrollo sostenible, acceso a la justicia, instituciones eficaces, responsables, inclusivas, reducción de violencia, reducción de corrupción, soborno, fortalecimiento institucional. Rendición de cuentas, eficiencia gubernamental.</t>
  </si>
  <si>
    <t>Crear a todos los niveles instituciones eficaces y transparentes que rindan cuentas</t>
  </si>
  <si>
    <t>Objetivos de Desarrollo Sostenible (ODS), ODS 16, Meta 16.6, instituciones eficaces, instituciones transparentes, rendición de cuentas, gobernanza.</t>
  </si>
  <si>
    <t>16.7</t>
  </si>
  <si>
    <t>Sociedades pacíficas, justicia e instituciones eficaces. Sociedades pacíficas, inclusivas, desarrollo sostenible, acceso a la justicia, instituciones eficaces, responsables, inclusivas, reducción de violencia, reducción de corrupción, soborno, fortalecimiento institucional.Sustitución voluntaria concertada, política pública de la mujer participativa,. Participación ciudadana.</t>
  </si>
  <si>
    <t>Garantizar la adopción en todos los niveles de decisiones inclusivas, participativas y representativas que respondan a las necesidades</t>
  </si>
  <si>
    <t>Decisiones inclusivas, Participativas, Representativas, Adopción de decisiones, ODS, Objetivo 16.7.</t>
  </si>
  <si>
    <t>16.8</t>
  </si>
  <si>
    <t>Sociedades pacíficas, justicia e instituciones eficaces. Sociedades pacíficas, inclusivas, desarrollo sostenible, acceso a la justicia, instituciones eficaces, responsables, inclusivas, reducción de violencia, reducción de corrupción, soborno, fortalecimiento institucional. Instituciones globales, voto en organismos internacionales.</t>
  </si>
  <si>
    <t>Ampliar y fortalecer la participación de los países en desarrollo en las instituciones de gobernanza mundial</t>
  </si>
  <si>
    <t>Países en desarrollo, participación, instituciones, gobernanza mundial, reducir desigualdades, Objetivo 10, desarrollo sostenible.</t>
  </si>
  <si>
    <t>16.9</t>
  </si>
  <si>
    <t>Sociedades pacíficas, justicia e instituciones eficaces. Sociedades pacíficas, inclusivas, desarrollo sostenible, acceso a la justicia, instituciones eficaces, responsables, inclusivas, reducción de violencia, reducción de corrupción, soborno, fortalecimiento institucional.	
 Documentación, registro civil.</t>
  </si>
  <si>
    <t>De aquí a 2030, proporcionar acceso a una identidad jurídica para todos, en particular mediante el registro de nacimientos</t>
  </si>
  <si>
    <t>Identidad jurídica, registro de nacimientos, ODS, Meta 16.9, 2030.</t>
  </si>
  <si>
    <t>16.a</t>
  </si>
  <si>
    <t>Sociedades pacíficas, justicia e instituciones eficaces. Sociedades pacíficas, inclusivas, desarrollo sostenible, acceso a la justicia, instituciones eficaces, responsables, inclusivas, reducción de violencia, reducción de corrupción, soborno, fortalecimiento institucional.	
 Capacidad institucional, prevención del terrorismo.</t>
  </si>
  <si>
    <t>Fortalecer las instituciones nacionales pertinentes, incluso mediante la cooperación internacional, para crear a todos los niveles, particularmente en los países en desarrollo, la capacidad de prevenir la violencia y combatir el terrorismo y la delincuencia</t>
  </si>
  <si>
    <t>Fortalecer instituciones, cooperación internacional, países en desarrollo, prevenir violencia, combatir terrorismo, combatir delincuencia, ODS 16, capacidad.</t>
  </si>
  <si>
    <t>16.b</t>
  </si>
  <si>
    <t>Sociedades pacíficas, justicia e instituciones eficaces. Sociedades pacíficas, inclusivas, desarrollo sostenible, acceso a la justicia, instituciones eficaces, responsables, inclusivas, reducción de violencia, reducción de corrupción, soborno, fortalecimiento institucional. Derechos humanos, equidad legal.</t>
  </si>
  <si>
    <t>Promover y aplicar leyes y políticas no discriminatorias en favor del desarrollo sostenible</t>
  </si>
  <si>
    <t>Leyes, políticas, no discriminatorias, desarrollo sostenible, ODS, Objetivo 16.B.</t>
  </si>
  <si>
    <t>17.1</t>
  </si>
  <si>
    <t>Fortalecer los medios de implementación y revitalizar la Alianza Mundial para el Desarrollo Sostenible</t>
  </si>
  <si>
    <t>Medios de implementación y revitalización de la Alianza Mundial. Medios de implementación, Alianza mundial, Desarrollo sostenible, Recursos financieros, Tecnología, Ciencia, Innovación, Datos desagregados, Seguimiento.Producción de aguacate/café (generación de ingresos/impuestos implícita). Recaudación tributaria.</t>
  </si>
  <si>
    <t>Fortalecer la movilización de recursos internos, incluso mediante la prestación de apoyo internacional a los países en desarrollo, con el fin de mejorar la capacidad nacional para recaudar ingresos fiscales y de otra índole</t>
  </si>
  <si>
    <t>movilización de recursos internos, apoyo internacional, países en desarrollo, ingresos fiscales, recaudar ingresos, capacidad nacional, Objetivos de Desarrollo Sostenible (ODS), financiación para el desarrollo.</t>
  </si>
  <si>
    <t>17.10</t>
  </si>
  <si>
    <t>Medios de implementación y revitalización de la Alianza Mundial. Medios de implementación, Alianza mundial, Desarrollo sostenible, Recursos financieros, Tecnología, Ciencia, Innovación, Datos desagregados, Seguimiento. Ronda de Doha, comercio multilateral.</t>
  </si>
  <si>
    <t>Promover un sistema de comercio multilateral universal, basado en normas, abierto, no discriminatorio y equitativo en el marco de la Organización Mundial del Comercio, incluso mediante la conclusión de las negociaciones en el marco del Programa de Doha para el Desarrollo</t>
  </si>
  <si>
    <t>Comercio multilateral; sistema de comercio universal; OMC; Organización Mundial del Comercio; Programa de Doha para el Desarrollo; no discriminatorio; equitativo; alianzas; ODS 17.</t>
  </si>
  <si>
    <t>17.11</t>
  </si>
  <si>
    <t>Medios de implementación y revitalización de la Alianza Mundial. Medios de implementación, Alianza mundial, Desarrollo sostenible, Recursos financieros, Tecnología, Ciencia, Innovación, Datos desagregados, Seguimiento. Exportaciones mundiales.</t>
  </si>
  <si>
    <t>Aumentar significativamente las exportaciones de los países en desarrollo, en particular con miras a duplicar la participación de los países menos adelantados en las exportaciones mundiales de aquí a 2020</t>
  </si>
  <si>
    <t>Exportaciones, países en desarrollo, países menos adelantados, comercio mundial, metas de desarrollo sostenible.</t>
  </si>
  <si>
    <t>17.12</t>
  </si>
  <si>
    <t>Medios de implementación y revitalización de la Alianza Mundial. Medios de implementación, Alianza mundial, Desarrollo sostenible, Recursos financieros, Tecnología, Ciencia, Innovación, Datos desagregados, Seguimiento. Acceso a mercados, normas de origen.</t>
  </si>
  <si>
    <t>Lograr la consecución oportuna del acceso a los mercados libre de derechos y contingentes de manera duradera para todos los países menos adelantados, conforme a las decisiones de la Organización Mundial del Comercio, incluso velando por que las normas de origen preferenciales aplicables a las importaciones de los países menos adelantados sean transparentes y sencillas y contribuyan a facilitar el acceso a los mercados</t>
  </si>
  <si>
    <t>Países menos adelantados, Acceso a mercados, Libre de derechos y contingentes, Organización Mundial del Comercio (OMC), Normas de origen preferenciales, Acceso a los mercados.</t>
  </si>
  <si>
    <t>17.13</t>
  </si>
  <si>
    <t>Medios de implementación y revitalización de la Alianza Mundial. Medios de implementación, Alianza mundial, Desarrollo sostenible, Recursos financieros, Tecnología, Ciencia, Innovación, Datos desagregados, Seguimiento.	
 Política macroeconómica.</t>
  </si>
  <si>
    <t>Aumentar la estabilidad macroeconómica mundial, incluso mediante la coordinación y coherencia de las políticas</t>
  </si>
  <si>
    <t>Estabilidad macroeconómica mundial, coordinación de políticas, coherencia de políticas, Objetivos de Desarrollo Sostenible (ODS), política económica.</t>
  </si>
  <si>
    <t>17.14</t>
  </si>
  <si>
    <t>Medios de implementación y revitalización de la Alianza Mundial. Medios de implementación, Alianza mundial, Desarrollo sostenible, Recursos financieros, Tecnología, Ciencia, Innovación, Datos desagregados, Seguimiento. Coherencia normativa.</t>
  </si>
  <si>
    <t>Mejorar la coherencia de las políticas para el desarrollo sostenible</t>
  </si>
  <si>
    <t>Coherencia de políticas, desarrollo sostenible, políticas públicas, ODS, Alianza Mundial.</t>
  </si>
  <si>
    <t>17.15</t>
  </si>
  <si>
    <t>Medios de implementación y revitalización de la Alianza Mundial. Medios de implementación, Alianza mundial, Desarrollo sostenible, Recursos financieros, Tecnología, Ciencia, Innovación, Datos desagregados, Seguimiento. Soberanía política, herramientas de planificación.</t>
  </si>
  <si>
    <t>Respetar el margen normativo y el liderazgo de cada país para establecer y aplicar políticas de erradicación de la pobreza y desarrollo sostenible</t>
  </si>
  <si>
    <t>Margen normativo, liderazgo, políticas, erradicación de la pobreza, desarrollo sostenible, país.</t>
  </si>
  <si>
    <t>17.16</t>
  </si>
  <si>
    <t>Medios de implementación y revitalización de la Alianza Mundial. Medios de implementación, Alianza mundial, Desarrollo sostenible, Recursos financieros, Tecnología, Ciencia, Innovación, Datos desagregados, Seguimiento. Estrategia de comercialización comunitaria, bancos de semillas (alianzas investigación), comercialización agropecuaria. Intercambio de conocimientos.</t>
  </si>
  <si>
    <t>Mejorar la Alianza Mundial para el Desarrollo Sostenible, complementada por alianzas entre múltiples interesados que movilicen e intercambien conocimientos, especialización, tecnología y recursos financieros, a fin de apoyar el logro de los Objetivos de Desarrollo Sostenible en todos los países, particularmente los países en desarrollo</t>
  </si>
  <si>
    <t>Alianza Mundial, Desarrollo Sostenible, alianzas múltiples interesados, conocimientos, especialización, tecnología, recursos financieros, Objetivos de Desarrollo Sostenible, países en desarrollo.</t>
  </si>
  <si>
    <t>17.17</t>
  </si>
  <si>
    <t>Medios de implementación y revitalización de la Alianza Mundial. Medios de implementación, Alianza mundial, Desarrollo sostenible, Recursos financieros, Tecnología, Ciencia, Innovación, Datos desagregados, Seguimiento.Turismo ecológico (alianzas público-privadas), minería ancestral (reconocimiento/alianzas), plan turístico, muelles. Sociedad civil, PPP.</t>
  </si>
  <si>
    <t>Fomentar y promover la constitución de alianzas eficaces en las esferas pública, público-privada y de la sociedad civil, aprovechando la experiencia y las estrategias de obtención de recursos de las alianzas</t>
  </si>
  <si>
    <t>Alianzas, Alianzas eficaces, Público-privada, Sociedad civil, Obtención de recursos, ODS 17.</t>
  </si>
  <si>
    <t>17.18</t>
  </si>
  <si>
    <t>Medios de implementación y revitalización de la Alianza Mundial. Medios de implementación, Alianza mundial, Desarrollo sostenible, Recursos financieros, Tecnología, Ciencia, Innovación, Datos desagregados, Seguimiento. Datos desglosados, calidad de datos.</t>
  </si>
  <si>
    <t>De aquí a 2020, mejorar el apoyo a la creación de capacidad prestado a los países en desarrollo, incluidos los países menos adelantados y los pequeños Estados insulares en desarrollo, para aumentar significativamente la disponibilidad de datos oportunos, fiables y de gran calidad desglosados por ingresos, sexo, edad, raza, origen étnico, estatus migratorio, discapacidad, ubicación geográfica y otras características pertinentes en los contextos nacionales</t>
  </si>
  <si>
    <t>Objetivos de Desarrollo Sostenible, ODS, meta 2020, capacidad, países en desarrollo, países menos adelantados, pequeños Estados insulares en desarrollo, disponibilidad de datos, datos desglosados, datos de calidad, apoyo.</t>
  </si>
  <si>
    <t>17.19</t>
  </si>
  <si>
    <t>Medios de implementación y revitalización de la Alianza Mundial. Medios de implementación, Alianza mundial, Desarrollo sostenible, Recursos financieros, Tecnología, Ciencia, Innovación, Datos desagregados, Seguimiento. Capacidad estadística, censos.</t>
  </si>
  <si>
    <t>De aquí a 2030, aprovechar las iniciativas existentes para elaborar indicadores que permitan medir los progresos en materia de desarrollo sostenible y complementen el producto interno bruto, y apoyar la creación de capacidad estadística en los países en desarrollo</t>
  </si>
  <si>
    <t>2030, iniciativas existentes, indicadores, progreso, desarrollo sostenible, producto interno bruto (PIB), capacidad estadística, países en desarrollo.</t>
  </si>
  <si>
    <t>17.2</t>
  </si>
  <si>
    <t>Medios de implementación y revitalización de la Alianza Mundial. Medios de implementación, Alianza mundial, Desarrollo sostenible, Recursos financieros, Tecnología, Ciencia, Innovación, Datos desagregados, Seguimiento.	
 Ayuda al desarrollo</t>
  </si>
  <si>
    <t>Velar por que los países desarrollados cumplan plenamente sus compromisos en relación con la asistencia oficial para el desarrollo, incluido el compromiso de numerosos países desarrollados de alcanzar el objetivo de destinar el 0,7% del ingreso nacional bruto a la asistencia oficial para el desarrollo de los países en desarrollo y entre el 0,15% y el 0,20% del ingreso nacional bruto a la asistencia oficial para el desarrollo de los países menos adelantados; se alienta a los proveedores de asistencia oficial para el desarrollo a que consideren la posibilidad de fijar una meta para destinar al menos el 0,20% del ingreso nacional bruto a la asistencia oficial para el desarrollo de los países menos adelantados</t>
  </si>
  <si>
    <t>Asistencia Oficial para el Desarrollo (AOD), 0,7% Ingreso Nacional Bruto (INB), Países Desarrollados, Países en Desarrollo, Países Menos Adelantados (PMA), Compromisos, Financiamiento para el Desarrollo, Metas de Desarrollo Sostenible.</t>
  </si>
  <si>
    <t>17.3</t>
  </si>
  <si>
    <t>Medios de implementación y revitalización de la Alianza Mundial. Medios de implementación, Alianza mundial, Desarrollo sostenible, Recursos financieros, Tecnología, Ciencia, Innovación, Datos desagregados, Seguimiento.Subsidios para insumos/tecnología, seguros agropecuarios,. Inversión extranjera, remesas.</t>
  </si>
  <si>
    <t>Movilizar recursos financieros adicionales de múltiples fuentes para los países en desarrollo</t>
  </si>
  <si>
    <t>Movilización, recursos financieros, fuentes múltiples, países en desarrollo, ODS, financiación.</t>
  </si>
  <si>
    <t>17.4</t>
  </si>
  <si>
    <t>Medios de implementación y revitalización de la Alianza Mundial. Medios de implementación, Alianza mundial, Desarrollo sostenible, Recursos financieros, Tecnología, Ciencia, Innovación, Datos desagregados, Seguimiento. Alivio de deuda, reestructuración.</t>
  </si>
  <si>
    <t>Ayudar a los países en desarrollo a lograr la sostenibilidad de la deuda a largo plazo con políticas coordinadas orientadas a fomentar la financiación, el alivio y la reestructuración de la deuda, según proceda, y hacer frente a la deuda externa de los países pobres muy endeudados a fin de reducir el endeudamiento excesivo</t>
  </si>
  <si>
    <t>Países en desarrollo, sostenibilidad de la deuda, financiación, alivio de la deuda, reestructuración de la deuda, deuda externa, países pobres muy endeudados, endeudamiento excesivo, Objetivos de Desarrollo Sostenible (ODS).</t>
  </si>
  <si>
    <t>17.5</t>
  </si>
  <si>
    <t>Medios de implementación y revitalización de la Alianza Mundial. Medios de implementación, Alianza mundial, Desarrollo sostenible, Recursos financieros, Tecnología, Ciencia, Innovación, Datos desagregados, Seguimiento. Promoción de inversiones.</t>
  </si>
  <si>
    <t>Adoptar y aplicar sistemas de promoción de las inversiones en favor de los países menos adelantados</t>
  </si>
  <si>
    <t>Inversiones, promoción de inversiones, países menos adelantados (PMA), sistemas de inversión, objetivos de desarrollo sostenible (ODS).</t>
  </si>
  <si>
    <t>17.6</t>
  </si>
  <si>
    <t>Medios de implementación y revitalización de la Alianza Mundial. Medios de implementación, Alianza mundial, Desarrollo sostenible, Recursos financieros, Tecnología, Ciencia, Innovación, Datos desagregados, Seguimiento. Aprovechamiento de capacidades tecnológicas (SENA, Universidades, CIAT). Cooperación Norte-Sur/Sur-Sur.</t>
  </si>
  <si>
    <t>Mejorar la cooperación regional e internacional Norte-Sur, Sur-Sur y triangular en materia de ciencia, tecnología e innovación y el acceso a estas, y aumentar el intercambio de conocimientos en condiciones mutuamente convenidas, incluso mejorando la coordinación entre los mecanismos existentes, en particular a nivel de las Naciones Unidas, y mediante un mecanismo mundial de facilitación de la tecnología</t>
  </si>
  <si>
    <t>Cooperación regional, Cooperación internacional, Norte-Sur, Sur-Sur, Triangular, Ciencia, Tecnología, Innovación, Acceso, Intercambio de conocimientos, Naciones Unidas, Mecanismo mundial de facilitación de la tecnología, Metas, Objetivos de Desarrollo Sostenible.</t>
  </si>
  <si>
    <t>17.7</t>
  </si>
  <si>
    <t>Medios de implementación y revitalización de la Alianza Mundial. Medios de implementación, Alianza mundial, Desarrollo sostenible, Recursos financieros, Tecnología, Ciencia, Innovación, Datos desagregados, Seguimiento. Transferencia tecnológica.</t>
  </si>
  <si>
    <t>Promover el desarrollo de tecnologías ecológicamente racionales y su transferencia, divulgación y difusión a los países en desarrollo en condiciones favorables, incluso en condiciones concesionarias y preferenciales, según lo convenido de mutuo acuerdo</t>
  </si>
  <si>
    <t>Tecnologías ecológicamente racionales, transferencia de tecnología, países en desarrollo, condiciones favorables, condiciones concesionarias, difusión.</t>
  </si>
  <si>
    <t>17.8</t>
  </si>
  <si>
    <t>Medios de implementación y revitalización de la Alianza Mundial. Medios de implementación, Alianza mundial, Desarrollo sostenible, Recursos financieros, Tecnología, Ciencia, Innovación, Datos desagregados, Seguimiento. TIC, tecnologias de información y comunicación, banco de tecnología.</t>
  </si>
  <si>
    <t>Poner en pleno funcionamiento, a más tardar en 2017, el banco de tecnología y el mecanismo de apoyo a la creación de capacidad en materia de ciencia, tecnología e innovación para los países menos adelantados y aumentar la utilización de tecnologías instrumentales, en particular la tecnología de la información y las comunicaciones</t>
  </si>
  <si>
    <t>Banco de tecnología, mecanismo de apoyo, creación de capacidad, ciencia, tecnología, innovación, países menos adelantados, tecnologías instrumentales, tecnología de la información y las comunicaciones, ODS.</t>
  </si>
  <si>
    <t>17.9</t>
  </si>
  <si>
    <t>Medios de implementación y revitalización de la Alianza Mundial. Medios de implementación, Alianza mundial, Desarrollo sostenible, Recursos financieros, Tecnología, Ciencia, Innovación, Datos desagregados, Seguimiento. Capacitación técnica internacional.</t>
  </si>
  <si>
    <t>Aumentar el apoyo internacional para realizar actividades de creación de capacidad eficaces y específicas en los países en desarrollo a fin de respaldar los planes nacionales de implementación de todos los Objetivos de Desarrollo Sostenible, incluso mediante la cooperación Norte-Sur, Sur-Sur y triangular</t>
  </si>
  <si>
    <t>apoyo internacional, creación de capacidad, países en desarrollo, planes nacionales, Objetivos de Desarrollo Sostenible, cooperación Norte-Sur, cooperación Sur-Sur, cooperación triangular</t>
  </si>
  <si>
    <t>2.1</t>
  </si>
  <si>
    <t>Poner fin al hambre, lograr la seguridad alimentaria y la mejora de la nutrición y promover la agricultura sostenible</t>
  </si>
  <si>
    <t>Seguridad alimentaria, nutrición y agricultura productiva. Pobreza, pobreza extrema, erradicación de la pobreza, objetivos de desarrollo sostenible, marcos normativos, inversión.  Inseguridad alimentaria, acceso a alimentos, nutrición básica. Subalimentación, derecho a la alimentación.</t>
  </si>
  <si>
    <t>De aquí a 2030, poner fin al hambre y asegurar el acceso de todas las personas, en particular los pobres y las personas en situaciones de vulnerabilidad, incluidos los niños menores de 1 año, a una alimentación sana, nutritiva y suficiente durante todo el año</t>
  </si>
  <si>
    <t>2030, fin al hambre, acceso a alimentación, personas vulnerables, niños menores de 1 año, alimentación sana, alimentación nutritiva, alimentación suficiente, todo el año, Objetivo de Desarrollo Sostenible (ODS).</t>
  </si>
  <si>
    <t>2.2</t>
  </si>
  <si>
    <t>Seguridad alimentaria, nutrición y agricultura productiva. Pobreza, pobreza extrema, erradicación de la pobreza, objetivos de desarrollo sostenible, marcos normativos, inversión.  Desnutrición infantil, lactancia materna. Salud nutricional de embarazadas y adultos mayores.</t>
  </si>
  <si>
    <t>De aquí a 2030, poner fin a todas las formas de malnutrición, incluso logrando, a más tardar en 2025, las metas convenidas internacionalmente sobre el retraso del crecimiento y la emaciación de los niños menores de 5 años, y abordar las necesidades de nutrición de las adolescentes, las mujeres embarazadas y lactantes y las personas de edad</t>
  </si>
  <si>
    <t>Malnutrición, Hambre Cero, Retraso del crecimiento, Emaciación, Nutrición, Niños menores de 5 años, Adolescentes, Mujeres embarazadas y lactantes, Personas de edad, 2030, 2025</t>
  </si>
  <si>
    <t>2.3</t>
  </si>
  <si>
    <t>Seguridad alimentaria, nutrición y agricultura productiva. Pobreza, pobreza extrema, erradicación de la pobreza, objetivos de desarrollo sostenible, marcos normativos, inversión. Productividad agropecuaria, yuca para almidón, piscicultura (jaulas flotantes), ganadería tecnificada, pequeños productores, cadena de frío, centros de acopio,,. Agricultura familiar, campesinos, indígenas.</t>
  </si>
  <si>
    <t xml:space="preserve">De aquí a 2030, duplicar la productividad agrícola y los ingresos de los productores de alimentos en pequeña escala, en particular las mujeres, los pueblos indígenas, los agricultores familiares, los ganaderos y los pescadores, entre otras cosas mediante un acceso seguro y equitativo a las tierras, a otros recursos e insumos de producción y a los conocimientos, los servicios financieros, los mercados y las oportunidades para añadir valor y obtener empleos no agrícolas </t>
  </si>
  <si>
    <t>Productividad agrícola, ingresos, productores de alimentos en pequeña escala, 2030, mujeres, pueblos indígenas, agricultores familiares, ganaderos, pescadores, acceso a tierras, recursos de producción, servicios financieros, mercados, empleos no agrícolas, Objetivos de Desarrollo Sostenible (ODS).</t>
  </si>
  <si>
    <t>2.4</t>
  </si>
  <si>
    <t>Seguridad alimentaria, nutrición y agricultura productiva. Pobreza, pobreza extrema, erradicación de la pobreza, objetivos de desarrollo sostenible, marcos normativos, inversión. Agricultura sostenible, producción limpia, abonos orgánicos, minimización de agroquímicos, sistemas de riego y drenaje,,. Adaptación agrícola al cambio climático, salud del suelo.</t>
  </si>
  <si>
    <t>De aquí a 2030, asegurar la sostenibilidad de los sistemas de producción de alimentos y aplicar prácticas agrícolas resilientes que aumenten la productividad y la producción, contribuyan al mantenimiento de los ecosistemas, fortalezcan la capacidad de adaptación al cambio climático, los fenómenos meteorológicos extremos, las sequías, las inundaciones y otros desastres, y mejoren progresivamente la calidad de la tierra y el suelo</t>
  </si>
  <si>
    <t>Sostenibilidad alimentaria; Sistemas de producción de alimentos; Prácticas agrícolas resilientes; Productividad; Ecosistemas; Adaptación al cambio climático; Fenómenos meteorológicos extremos; Sequías; Inundaciones; Calidad de la tierra y el suelo; ODS.</t>
  </si>
  <si>
    <t>2.5</t>
  </si>
  <si>
    <t>Seguridad alimentaria, nutrición y agricultura productiva. Pobreza, pobreza extrema, erradicación de la pobreza, objetivos de desarrollo sostenible, marcos normativos, inversión. Bancos de semillas nativas, recuperación de semillas propias (maíz, frijol, yuca), saberes ancestrales, especies menores, diversidad genética,,. Recursos genéticos.</t>
  </si>
  <si>
    <t>De aquí a 2020, mantener la diversidad genética de las semillas, las plantas cultivadas y los animales de granja y domesticados y sus correspondientes especies silvestres, entre otras cosas mediante una buena gestión y diversificación de los bancos de semillas y plantas a nivel nacional, regional e internacional, y promover el acceso a los beneficios que se deriven de la utilización de los recursos genéticos y los conocimientos tradicionales conexos y su distribución justa y equitativa, según lo convenido internacionalmente</t>
  </si>
  <si>
    <t>Diversidad genética, semillas, plantas cultivadas, animales domesticados, especies silvestres, bancos de semillas, recursos genéticos, conocimientos tradicionales, distribución justa y equitativa, objetivo de desarrollo sostenible.</t>
  </si>
  <si>
    <t>2.a</t>
  </si>
  <si>
    <t>Seguridad alimentaria, nutrición y agricultura productiva. Pobreza, pobreza extrema, erradicación de la pobreza, objetivos de desarrollo sostenible, marcos normativos, inversión.  Investigación agropecuaria, bancos de genes, extensión agrícola. Infraestructura productiva rural.</t>
  </si>
  <si>
    <t>Aumentar, incluso mediante una mayor cooperación internacional, las inversiones en infraestructura rural, investigación y servicios de extensión agrícola, desarrollo tecnológico y bancos de genes de plantas y ganado a fin de mejorar la capacidad de producción agropecuaria en los países en desarrollo, particularmente en los países menos adelantados</t>
  </si>
  <si>
    <t>Inversiones, infraestructura rural, investigación agrícola, servicios de extensión agrícola, desarrollo tecnológico, bancos de genes, capacidad de producción agropecuaria, países en desarrollo, países menos adelantados, Objetivo de Desarrollo Sostenible (ODS).</t>
  </si>
  <si>
    <t>2.b</t>
  </si>
  <si>
    <t>Seguridad alimentaria, nutrición y agricultura productiva. Pobreza, pobreza extrema, erradicación de la pobreza, objetivos de desarrollo sostenible, marcos normativos, inversión.  Subsidios a la exportación agrícola, comercio justo de alimentos. Ronda de Doha.</t>
  </si>
  <si>
    <t>Corregir y prevenir las restricciones y distorsiones comerciales en los mercados agropecuarios mundiales, incluso mediante la eliminación paralela de todas las formas de subvención a las exportaciones agrícolas y todas las medidas de exportación con efectos equivalentes, de conformidad con el mandato de la Ronda de Doha para el Desarrollo</t>
  </si>
  <si>
    <t>Restricciones comerciales, distorsiones, mercados agropecuarios, subvención a las exportaciones agrícolas, Ronda de Doha, desarrollo.</t>
  </si>
  <si>
    <t>2.c</t>
  </si>
  <si>
    <t>Seguridad alimentaria, nutrición y agricultura productiva. Pobreza, pobreza extrema, erradicación de la pobreza, objetivos de desarrollo sostenible, marcos normativos, inversión.  Volatilidad de precios de alimentos, información de mercados. Reservas de alimentos.</t>
  </si>
  <si>
    <t>Adoptar medidas para asegurar el buen funcionamiento de los mercados de productos básicos alimentarios y sus derivados y facilitar el acceso oportuno a la información sobre los mercados, incluso sobre las reservas de alimentos, a fin de ayudar a limitar la extrema volatilidad de los precios de los alimentos</t>
  </si>
  <si>
    <t>Mercados de productos básicos alimentarios, derivados, información sobre mercados, reservas de alimentos, volatilidad de precios, alimentos.</t>
  </si>
  <si>
    <t>3.1</t>
  </si>
  <si>
    <t>Garantizar una vida sana y promover el bienestar de todos a todas las edades</t>
  </si>
  <si>
    <t>Vida sana, cobertura sanitaria y prevención. Hambre cero, seguridad alimentaria, nutrición mejorada, agricultura sostenible, malnutrición, productividad agrícola, pequeños productores.  Salud materna, parto seguro, atención prenatal.</t>
  </si>
  <si>
    <t>De aquí a 2030, reducir la tasa mundial de mortalidad materna a menos de 70 por cada 100.000 nacidos vivos</t>
  </si>
  <si>
    <t>2030, mortalidad materna, reducir, 70/100.000, nacidos vivos, Objetivos de Desarrollo Sostenible (ODS), Meta 3.1.</t>
  </si>
  <si>
    <t>3.2</t>
  </si>
  <si>
    <t>Vida sana, cobertura sanitaria y prevención. Hambre cero, seguridad alimentaria, nutrición mejorada, agricultura sostenible, malnutrición, productividad agrícola, pequeños productores.  Mortalidad neonatal, salud infantil, vacunación pediátrica.  Enfermedades tropicales, VIH/SIDA, vectores, hepatitis.</t>
  </si>
  <si>
    <t>De aquí a 2030, poner fin a las muertes evitables de recién nacidos y de niños menores de 5 años, logrando que todos los países intenten reducir la mortalidad neonatal al menos a 12 por cada 1.000 nacidos vivos y la mortalidad de los niños menores de 5 años al menos a 25 por cada 1.000 nacidos vivos</t>
  </si>
  <si>
    <t>Objetivos de Desarrollo Sostenible (ODS), Meta, 2030, muertes evitables, recién nacidos, niños menores de 5 años, mortalidad neonatal, mortalidad infantil.</t>
  </si>
  <si>
    <t>3.3</t>
  </si>
  <si>
    <t>Vida sana, cobertura sanitaria y prevención. Hambre cero, seguridad alimentaria, nutrición mejorada, agricultura sostenible, malnutrición, productividad agrícola, pequeños productores.  Enfermedades tropicales, VIH/SIDA, vectores, hepatitis.</t>
  </si>
  <si>
    <t>De aquí a 2030, poner fin a las epidemias del SIDA, la tuberculosis, la malaria y las enfermedades tropicales desatendidas y combatir la hepatitis, las enfermedades transmitidas por el agua y otras enfermedades transmisibles</t>
  </si>
  <si>
    <t>Objetivos de Desarrollo Sostenible (ODS), Salud, SIDA, tuberculosis, malaria, enfermedades tropicales desatendidas, hepatitis, enfermedades transmisibles, 2030.</t>
  </si>
  <si>
    <t>3.4</t>
  </si>
  <si>
    <t>Vida sana, cobertura sanitaria y prevención. Hambre cero, seguridad alimentaria, nutrición mejorada, agricultura sostenible, malnutrición, productividad agrícola, pequeños productores.  Salud mental, prevención cardiovascular, diabetes, cáncer. Bienestar psicológico.</t>
  </si>
  <si>
    <t xml:space="preserve"> De aquí a 2030, reducir en un tercio la mortalidad prematura por enfermedades no transmisibles mediante su prevención y tratamiento, y promover la salud mental y el bienestar</t>
  </si>
  <si>
    <t>2030, reducir mortalidad prematura, enfermedades no transmisibles, prevención, tratamiento, salud mental, bienestar, Objetivos de Desarrollo Sostenible (ODS), Objetivo 3: Salud y Bienestar.</t>
  </si>
  <si>
    <t>3.5</t>
  </si>
  <si>
    <t>Vida sana, cobertura sanitaria y prevención. Hambre cero, seguridad alimentaria, nutrición mejorada, agricultura sostenible, malnutrición, productividad agrícola, pequeños productores.  Prevención de drogadicción, alcoholismo, rehabilitación.</t>
  </si>
  <si>
    <t>Fortalecer la prevención y el tratamiento del abuso de sustancias adictivas, incluido el uso indebido de estupefacientes y el consumo nocivo de alcohol</t>
  </si>
  <si>
    <t>Prevención, tratamiento, abuso de sustancias, adicciones, estupefacientes, alcohol, ODS 3.5, salud y bienestar.</t>
  </si>
  <si>
    <t>3.6</t>
  </si>
  <si>
    <t>Vida sana, cobertura sanitaria y prevención. Hambre cero, seguridad alimentaria, nutrición mejorada, agricultura sostenible, malnutrición, productividad agrícola, pequeños productores.  Seguridad vial, prevención de accidentes de tránsito.</t>
  </si>
  <si>
    <t>De aquí a 2020, reducir a la mitad el número de muertes y lesiones causadas por accidentes de tráfico en el mundo</t>
  </si>
  <si>
    <t>Objetivos de Desarrollo Sostenible (ODS), meta 3.6, accidentes de tráfico, seguridad vial, reducir muertes y lesiones, salud y bienestar.</t>
  </si>
  <si>
    <t>3.7</t>
  </si>
  <si>
    <t>Vida sana, cobertura sanitaria y prevención. Hambre cero, seguridad alimentaria, nutrición mejorada, agricultura sostenible, malnutrición, productividad agrícola, pequeños productores.  Planificación familiar, educación sexual, salud reproductiva.</t>
  </si>
  <si>
    <t>De aquí a 2030, garantizar el acceso universal a los servicios de salud sexual y reproductiva, incluidos los de planificación familiar, información y educación, y la integración de la salud reproductiva en las estrategias y los programas nacionales</t>
  </si>
  <si>
    <t>Salud sexual y reproductiva, Acceso universal, Planificación familiar, Información y educación, Estrategias y programas nacionales, ODS 2030, Meta 3.7.</t>
  </si>
  <si>
    <t>3.8</t>
  </si>
  <si>
    <t>Vida sana, cobertura sanitaria y prevención. Hambre cero, seguridad alimentaria, nutrición mejorada, agricultura sostenible, malnutrición, productividad agrícola, pequeños productores. Comités de salud, primeros auxilios, dotación de equipos médicos, adjudicación de predios para salud,,. Acceso a salud rural, medicamentos asequibles.</t>
  </si>
  <si>
    <t>Lograr la cobertura sanitaria universal, incluida la protección contra los riesgos financieros, el acceso a servicios de salud esenciales de calidad y el acceso a medicamentos y vacunas inocuos, eficaces, asequibles y de calidad para todos</t>
  </si>
  <si>
    <t>Cobertura sanitaria universal, protección riesgos financieros, acceso servicios salud esenciales, medicamentos y vacunas, calidad, asequibles, Objetivos de Desarrollo Sostenible (ODS).</t>
  </si>
  <si>
    <t>3.9</t>
  </si>
  <si>
    <t>Vida sana, cobertura sanitaria y prevención. Hambre cero, seguridad alimentaria, nutrición mejorada, agricultura sostenible, malnutrición, productividad agrícola, pequeños productores. Minimizar impacto de agroquímicos, producción de alimentos saludables, sacrificio animal higiénico,. Calidad del aire/agua, salud ambiental.</t>
  </si>
  <si>
    <t>De aquí a 2030, reducir considerablemente el número de muertes y enfermedades causadas por productos químicos peligrosos y por la polución y contaminación del aire, el agua y el suelo</t>
  </si>
  <si>
    <t>2030, reducir muertes, enfermedades, productos químicos peligrosos, polución, contaminación, aire, agua, suelo, Objetivos de Desarrollo Sostenible (ODS), salud.</t>
  </si>
  <si>
    <t>3.a</t>
  </si>
  <si>
    <t>Vida sana, cobertura sanitaria y prevención. Hambre cero, seguridad alimentaria, nutrición mejorada, agricultura sostenible, malnutrición, productividad agrícola, pequeños productores.  Control del tabaco, regulación antitabaco.</t>
  </si>
  <si>
    <t>Fortalecer la aplicación del Convenio Marco de la Organización Mundial de la Salud para el Control del Tabaco en todos los países, según proceda</t>
  </si>
  <si>
    <t>Control del Tabaco, Convenio Marco de la OMS, Salud Pública, Aplicación del Convenio, Organización Mundial de la Salud, Objetivos de Desarrollo Sostenible (ODS), Política Sanitaria, Reducción de Tabaquismo.</t>
  </si>
  <si>
    <t>3.b</t>
  </si>
  <si>
    <t>Vida sana, cobertura sanitaria y prevención. Hambre cero, seguridad alimentaria, nutrición mejorada, agricultura sostenible, malnutrición, productividad agrícola, pequeños productores.  Investigación y desarrollo médica, acceso a vacunas, propiedad intelectual en salud.</t>
  </si>
  <si>
    <t>Apoyar las actividades de investigación y desarrollo de vacunas y medicamentos contra las enfermedades transmisibles y no transmisibles que afectan primordialmente a los países en desarrollo y facilitar el acceso a medicamentos y vacunas esenciales asequibles de conformidad con la Declaración relativa al Acuerdo sobre los Aspectos de los Derechos de Propiedad Intelectual Relacionados con el Comercio y la Salud Pública, en la que se afirma el derecho de los países en desarrollo a utilizar al máximo las disposiciones del Acuerdo sobre los Aspectos de los Derechos de Propiedad Intelectual Relacionados con el Comercio respecto a la flexibilidad para proteger la salud pública y, en particular, proporcionar acceso a los medicamentos para todos</t>
  </si>
  <si>
    <t>Investigación y desarrollo; Vacunas; Medicamentos; Enfermedades transmisibles; Enfermedades no transmisibles; Países en desarrollo; Acceso a medicamentos; Medicamentos esenciales; Vacunas asequibles; Derechos de Propiedad Intelectual; Salud Pública; Cobertura sanitaria universal.</t>
  </si>
  <si>
    <t>3.c</t>
  </si>
  <si>
    <t>Vida sana, cobertura sanitaria y prevención. Hambre cero, seguridad alimentaria, nutrición mejorada, agricultura sostenible, malnutrición, productividad agrícola, pequeños productores.  Personal médico, formación sanitaria, retención de talento en salud.</t>
  </si>
  <si>
    <t>Aumentar considerablemente la financiación de la salud y la contratación, el perfeccionamiento, la capacitación y la retención del personal sanitario en los países en desarrollo, especialmente en los países menos adelantados y los pequeños Estados insulares en desarrollo</t>
  </si>
  <si>
    <t>Financiación de la salud, contratación, perfeccionamiento, capacitación, retención, personal sanitario, países en desarrollo, países menos adelantados, pequeños Estados insulares en desarrollo, Objetivos de Desarrollo Sostenible (ODS), Meta.</t>
  </si>
  <si>
    <t>3.d</t>
  </si>
  <si>
    <t>Vida sana, cobertura sanitaria y prevención. Hambre cero, seguridad alimentaria, nutrición mejorada, agricultura sostenible, malnutrición, productividad agrícola, pequeños productores.  Gestión de riesgos sanitarios, emergencias epidemiológicas.</t>
  </si>
  <si>
    <t>Reforzar la capacidad de todos los países, en particular los países en desarrollo, en materia de alerta temprana, reducción de riesgos y gestión de los riesgos para la salud nacional y mundial</t>
  </si>
  <si>
    <t>Palabras clave: Capacidad de los países, países en desarrollo, alerta temprana, reducción de riesgos, gestión de riesgos, salud nacional y mundial, ODS, Objetivo de Desarrollo Sostenible.</t>
  </si>
  <si>
    <t>4.1</t>
  </si>
  <si>
    <t>Garantizar una educación inclusiva y equitativa de calidad y promover oportunidades de aprendizaje permanente para todos</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</si>
  <si>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 Educación básica completa, resultados de aprendizaje, lectoescritura.</t>
  </si>
  <si>
    <t>De aquí a 2030, asegurar que todas las niñas y todos los niños terminen la enseñanza primaria y secundaria, que ha de ser gratuita, equitativa y de calidad y producir resultados de aprendizaje pertinentes y efectivos</t>
  </si>
  <si>
    <t>2030, educación, primaria, secundaria, gratuita, equitativa, calidad, aprendizaje.</t>
  </si>
  <si>
    <t>4.2</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</si>
  <si>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 Educación preescolar, desarrollo infantil temprano.</t>
  </si>
  <si>
    <t>De aquí a 2030, asegurar que todas las niñas y todos los niños tengan acceso a servicios de atención y desarrollo en la primera infancia y educación preescolar de calidad, a fin de que estén preparados para la enseñanza primaria</t>
  </si>
  <si>
    <t>Objetivos de Desarrollo Sostenible (ODS), Meta 4.2, educación de calidad, primera infancia, educación preescolar, enseñanza primaria, 2030, atención y desarrollo.</t>
  </si>
  <si>
    <t>4.3</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</si>
  <si>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 Educación universitaria, formación vocacional, acceso equitativo.</t>
  </si>
  <si>
    <t>De aquí a 2030, asegurar el acceso igualitario de todos los hombres y las mujeres a una formación técnica, profesional y superior de calidad, incluida la enseñanza universitaria</t>
  </si>
  <si>
    <t>2030, acceso igualitario, formación técnica, formación profesional, educación superior, calidad, enseñanza universitaria, ODS, Meta.</t>
  </si>
  <si>
    <t>4.4</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</si>
  <si>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violentos.Capacitación técnica y tecnológica rural, gestión empresarial, programas de desarrollo rural (SENA/Universidades), extensión rural,,. Habilidades para el trabajo.</t>
  </si>
  <si>
    <t>De aquí a 2030, aumentar considerablemente el número de jóvenes y adultos que tienen las competencias necesarias, en particular técnicas y profesionales, para acceder al empleo, el trabajo decente y el emprendimiento</t>
  </si>
  <si>
    <t>Competencias, técnicas y profesionales, empleo, trabajo decente, emprendimiento, jóvenes y adultos, 2030, ODS.</t>
  </si>
  <si>
    <t>4.5</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</si>
  <si>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violentos.Educación inclusiva, acceso para discapacitados e indígenas.</t>
  </si>
  <si>
    <t>De aquí a 2030, eliminar las disparidades de género en la educación y asegurar el acceso igualitario a todos los niveles de la enseñanza y la formación profesional para las personas vulnerables, incluidas las personas con discapacidad, los pueblos indígenas y los niños en situaciones de vulnerabilidad</t>
  </si>
  <si>
    <t>Educación, disparidades de género, acceso igualitario, formación profesional, personas vulnerables, discapacidad, pueblos indígenas, ODS, Agenda 2030.</t>
  </si>
  <si>
    <t>4.6</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</si>
  <si>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 Alfabetización de adultos, competencias funcionales.</t>
  </si>
  <si>
    <t>De aquí a 2030, asegurar que todos los jóvenes y una proporción considerable de los adultos, tanto hombres como mujeres, estén alfabetizados y tengan nociones elementales de aritmética</t>
  </si>
  <si>
    <t>2030, jóvenes, adultos, alfabetización, aritmética, educación, ODS, meta, aprendizaje.</t>
  </si>
  <si>
    <t>4.7</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</si>
  <si>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violentos.Educación ambiental, contenidos educativos en emisora comunitaria, cultura de paz, fortalecimiento cadena café (investigación/conocimiento),,. Ciudadanía mundial.</t>
  </si>
  <si>
    <t>De aquí a 2030, asegurar que todos los alumnos adquieran los conocimientos teóricos y prácticos necesarios para promover el desarrollo sostenible, entre otras cosas mediante la educación para el desarrollo sostenible y los estilos de vida sostenibles, los derechos humanos, la igualdad de género, la promoción de una cultura de paz y no violencia, la ciudadanía mundial y la valoración de la diversidad cultural y la contribución de la cultura al desarrollo sostenible</t>
  </si>
  <si>
    <t>Desarrollo Sostenible, Educación, 2030, Derechos Humanos, Igualdad de Género, Cultura de Paz, Ciudadanía Mundial, Diversidad Cultural.</t>
  </si>
  <si>
    <t>4.a</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</si>
  <si>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violentos.Adjudicación de predios para instituciones educativas, infraestructura escolar. Entornos de aprendizaje seguros.</t>
  </si>
  <si>
    <t>Construir y adecuar instalaciones educativas que tengan en cuenta las necesidades de los niños y las personas con discapacidad y las diferencias de género, y que ofrezcan entornos de aprendizaje seguros, no violentos, inclusivos y eficaces para todos</t>
  </si>
  <si>
    <t>Instalaciones educativas, discapacidad, diferencias de género, entornos de aprendizaje seguros, no violentos, inclusivos, eficaces, ODS 4, educación de calidad.</t>
  </si>
  <si>
    <t>4.b</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</si>
  <si>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 Becas internacionales, movilidad estudiantil.</t>
  </si>
  <si>
    <t>De aquí a 2020, aumentar considerablemente a nivel mundial el número de becas disponibles para los países en desarrollo, en particular los países menos adelantados, los pequeños Estados insulares en desarrollo y los países africanos, a fin de que sus estudiantes puedan matricularse en programas de enseñanza superior, incluidos programas de formación profesional y programas técnicos, científicos, de ingeniería y de tecnología de la información y las comunicaciones, de países desarrollados y otros países en desarrollo</t>
  </si>
  <si>
    <t>Becas, países en desarrollo, enseñanza superior, formación profesional, programas técnicos, programas científicos, ingeniería, tecnología de la información y las comunicaciones, Objetivos de Desarrollo Sostenible (ODS), Meta.</t>
  </si>
  <si>
    <t>4.c</t>
  </si>
  <si>
    <t>Educación inclusiva, técnica y para el desarrollo sostenible. Educación inclusiva, Educación equitativa, Educación calidad, aprendizaje, toda la vida, Educación niños, Educación niñas, Educación adolescentes, competencia, lectura, matemáticas, acceso igualitario, formación profesional, entornos de aprendizaje seguros, no violentos. Formación docente, capacitación de profesores.</t>
  </si>
  <si>
    <t>De aquí a 2030, aumentar considerablemente la oferta de docentes calificados, incluso mediante la cooperación internacional para la formación de docentes en los países en desarrollo, especialmente los países menos adelantados y los pequeños Estados insulares en desarrollo</t>
  </si>
  <si>
    <t>2030, docentes calificados, cooperación internacional, formación de docentes, países en desarrollo, países menos adelantados, pequeños Estados insulares en desarrollo.</t>
  </si>
  <si>
    <t>5.1</t>
  </si>
  <si>
    <t>Lograr la igualdad de género y empoderar a todas las mujeres y las niñas</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</si>
  <si>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Reconocimiento de derechos de la mujer (implícito en defensa de líderes). No discriminación, igualdad jurídica.</t>
  </si>
  <si>
    <t>Poner fin a todas las formas de discriminación contra todas las mujeres y las niñas en todo el mundo</t>
  </si>
  <si>
    <t>discriminación, mujeres, niñas, igualdad de género, ODS, meta, desarrollo sostenible</t>
  </si>
  <si>
    <t>5.2</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</si>
  <si>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Violencia de género, trata de mujeres, explotación sexual.</t>
  </si>
  <si>
    <t>Eliminar todas las formas de violencia contra todas las mujeres y las niñas en los ámbitos público y privado, incluidas la trata y la explotación sexual y otros tipos de explotación</t>
  </si>
  <si>
    <t>violencia, mujeres, niñas, ámbito público, ámbito privado, trata, explotación sexual, explotación, ODS</t>
  </si>
  <si>
    <t>5.3</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</si>
  <si>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Matrimonio forzado, protección de niñas.</t>
  </si>
  <si>
    <t>Eliminar todas las prácticas nocivas, como el matrimonio infantil, precoz y forzado y la mutilación genital femenina</t>
  </si>
  <si>
    <t>Prácticas nocivas, Matrimonio infantil, Matrimonio precoz, Matrimonio forzado, Mutilación genital femenina, Igualdad de género, ODS.</t>
  </si>
  <si>
    <t>5.4</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</si>
  <si>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económico.Diversificación de granja para ingresos (valorar trabajo productivo mujer). Corresponsabilidad en el hogar, economía del cuidado.</t>
  </si>
  <si>
    <t>Reconocer y valorar los cuidados y el trabajo doméstico no remunerados mediante servicios públicos, infraestructuras y políticas de protección social, y promoviendo la responsabilidad compartida en el hogar y la familia, según proceda en cada país</t>
  </si>
  <si>
    <t>Cuidados, Trabajo doméstico no remunerado, Servicios públicos, Infraestructuras, Protección social, Responsabilidad compartida, Hogar y familia, Igualdad de género, ODS.</t>
  </si>
  <si>
    <t>5.5</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</si>
  <si>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económico.Política pública de la mujer, espacios de participación para mujeres, mujeres en cargos directivos. Liderazgo femenino, paridad política.</t>
  </si>
  <si>
    <t>Asegurar la participación plena y efectiva de las mujeres y la igualdad de oportunidades de liderazgo a todos los niveles decisorios en la vida política, económica y pública</t>
  </si>
  <si>
    <t>Participación de las mujeres, Igualdad de oportunidades, Liderazgo, Niveles decisorios, Vida política, Vida económica, Vida pública, Objetivo de Desarrollo Sostenible (ODS), Igualdad de género.</t>
  </si>
  <si>
    <t>5.6</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</si>
  <si>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Autonomía reproductiva, decisiones sobre sexualidad.</t>
  </si>
  <si>
    <t>Asegurar el acceso universal a la salud sexual y reproductiva y los derechos reproductivos según lo acordado de conformidad con el Programa de Acción de la Conferencia Internacional sobre la Población y el Desarrollo, la Plataforma de Acción de Beijing y los documentos finales de sus conferencias de examen</t>
  </si>
  <si>
    <t>Salud sexual y reproductiva, derechos reproductivos, acceso universal, Programa de Acción de la Conferencia Internacional sobre la Población y el Desarrollo, Plataforma de Acción de Beijing, Objetivos de Desarrollo Sostenible (ODS)</t>
  </si>
  <si>
    <t>5.a</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</si>
  <si>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Casa de la Mujer Rural, banco de proyectos para mujeres cabeza de hogar, acceso a tierras para mujeres rurales, emprendimiento femenino,,,,. Herencia, servicios financieros para mujeres.</t>
  </si>
  <si>
    <t>Emprender reformas que otorguen a las mujeres igualdad de derechos a los recursos económicos, así como acceso a la propiedad y al control de la tierra y otros tipos de bienes, los servicios financieros, la herencia y los recursos naturales, de conformidad con las leyes nacionales</t>
  </si>
  <si>
    <t>igualdad de derechos, recursos económicos, propiedad, control de la tierra, servicios financieros, herencia, recursos naturales, mujeres, leyes nacionales, ODS</t>
  </si>
  <si>
    <t>5.b</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</si>
  <si>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Emisora comunitaria (participación y contenidos mujer). TIC para mujeres, brecha digital de género.</t>
  </si>
  <si>
    <t>Mejorar el uso de la tecnología instrumental, en particular la tecnología de la información y las comunicaciones, para promover el empoderamiento de las mujeres</t>
  </si>
  <si>
    <t>Tecnología, Tecnología instrumental, TIC, Información y comunicaciones, Empoderamiento de las mujeres, Igualdad de género, ODS 5.</t>
  </si>
  <si>
    <t>5.c</t>
  </si>
  <si>
    <t>Empoderamiento de mujeres y niñas en todos los ámbitos. Igualdad de género, empoderamiento de mujeres y niñas, no discriminación, matrimonios infantiles, uniones tempranas forzadas, cuidado no remunerado, salud y derechos sexuales y reproductivos, liderazgo político y económico.	
 Legislación de igualdad, presupuestos con enfoque de género.</t>
  </si>
  <si>
    <t>Aprobar y fortalecer políticas acertadas y leyes aplicables para promover la igualdad de género y el empoderamiento de todas las mujeres y las niñas a todos los niveles</t>
  </si>
  <si>
    <t>Igualdad de género, empoderamiento de la mujer, políticas acertadas, leyes aplicables, Objetivos de Desarrollo Sostenible (ODS), Meta 5.c</t>
  </si>
  <si>
    <t>6.1</t>
  </si>
  <si>
    <t>Garantizar la disponibilidad y la gestión sostenible del agua y el saneamiento para todos</t>
  </si>
  <si>
    <t>Disponibilidad y gestión sostenible del agua. Agua potable, Saneamiento, Gestión sostenible, Desarrollo Sostenible. Adjudicación de predios para acueductos veredales. Agua potable segura, cobertura de acueducto.</t>
  </si>
  <si>
    <t>De aquí a 2030, lograr el acceso universal y equitativo al agua potable a un precio asequible para todos</t>
  </si>
  <si>
    <t>2030, acceso universal, equitativo, agua potable, precio asequible, Objetivos de Desarrollo Sostenible (ODS), Meta 6.1.</t>
  </si>
  <si>
    <t>6.2</t>
  </si>
  <si>
    <t>Disponibilidad y gestión sostenible del agua. Agua potable, Saneamiento, Gestión sostenible, Desarrollo Sostenible. Saneamiento básico, fin de defecación al aire libre, higiene.</t>
  </si>
  <si>
    <t>De aquí a 2030, lograr el acceso a servicios de saneamiento e higiene adecuados y equitativos para todos y poner fin a la defecación al aire libre, prestando especial atención a las necesidades de las mujeres y las niñas y las personas en situaciones de vulnerabilidad</t>
  </si>
  <si>
    <t>2030, saneamiento, higiene, equitativo, defecación al aire libre, mujeres, niñas, vulnerabilidad, ODS 6.2, Objetivo de Desarrollo Sostenible.</t>
  </si>
  <si>
    <t>6.3</t>
  </si>
  <si>
    <t>Disponibilidad y gestión sostenible del agua. Agua potable, Saneamiento, Gestión sostenible, Desarrollo Sostenible. Evitar uso indiscriminado de químicos, protección de fuentes hídricas. Tratamiento de aguas residuales, reducción de vertidos.</t>
  </si>
  <si>
    <t>De aquí a 2030, mejorar la calidad del agua reduciendo la contaminación, eliminando el vertimiento y minimizando la emisión de productos químicos y materiales peligrosos, reduciendo a la mitad el porcentaje de aguas residuales sin tratar y aumentando considerablemente el reciclado y la reutilización sin riesgos a nivel mundial</t>
  </si>
  <si>
    <t>Calidad del agua, Contaminación, Vertimiento, Productos químicos peligrosos, Materiales peligrosos, Aguas residuales sin tratar, Reciclado, Reutilización, Objetivo 6, Desarrollo Sostenible, 2030</t>
  </si>
  <si>
    <t>6.4</t>
  </si>
  <si>
    <t>Disponibilidad y gestión sostenible del agua. Agua potable, Saneamiento, Gestión sostenible, Desarrollo Sostenible. Construcción de distrito de riego y drenaje, aprovisionamiento de recurso hídrico. Estrés hídrico, eficiencia en uso de agua.</t>
  </si>
  <si>
    <t>De aquí a 2030, aumentar considerablemente el uso eficiente de los recursos hídricos en todos los sectores y asegurar la sostenibilidad de la extracción y el abastecimiento de agua dulce para hacer frente a la escasez de agua y reducir considerablemente el número de personas que sufren falta de agua</t>
  </si>
  <si>
    <t>uso eficiente del agua, recursos hídricos, sostenibilidad, extracción de agua dulce, abastecimiento de agua dulce, escasez de agua, falta de agua, 2030, Objetivos de Desarrollo Sostenible (ODS), Meta 6.4 (por contexto de agua y saneamiento)</t>
  </si>
  <si>
    <t>6.5</t>
  </si>
  <si>
    <t>Disponibilidad y gestión sostenible del agua. Agua potable, Saneamiento, Gestión sostenible, Desarrollo Sostenible.  Gestión de cuencas, cooperación transfronteriza de aguas.</t>
  </si>
  <si>
    <t>De aquí a 2030, implementar la gestión integrada de los recursos hídricos a todos los niveles, incluso mediante la cooperación transfronteriza, según proceda</t>
  </si>
  <si>
    <t>Gestión integrada de recursos hídricos (GIRH), cooperación transfronteriza, recursos hídricos, ODS 6, 2030, agua.</t>
  </si>
  <si>
    <t>6.6</t>
  </si>
  <si>
    <t>Disponibilidad y gestión sostenible del agua. Agua potable, Saneamiento, Gestión sostenible, Desarrollo Sostenible. Protección de bosques para preservar fuentes hídricas (ríos, represa Salvajina). Humedales, acuíferos, lagos.</t>
  </si>
  <si>
    <t>De aquí a 2020, proteger y restablecer los ecosistemas relacionados con el agua, incluidos los bosques, las montañas, los humedales, los ríos, los acuíferos y los lagos</t>
  </si>
  <si>
    <t>Ecosistemas relacionados con el agua, Proteger, Restablecer, Bosques, Montañas, Humedales, Ríos, Acuíferos, Lagos, Meta 6.6, Objetivos de Desarrollo Sostenible (ODS).</t>
  </si>
  <si>
    <t>6.a</t>
  </si>
  <si>
    <t>Disponibilidad y gestión sostenible del agua. Agua potable, Saneamiento, Gestión sostenible, Desarrollo Sostenible.  Captación de agua, desalinización, tecnologías de agua.</t>
  </si>
  <si>
    <t>De aquí a 2030, ampliar la cooperación internacional y el apoyo prestado a los países en desarrollo para la creación de capacidad en actividades y programas relativos al agua y el saneamiento, como los de captación de agua, desalinización, uso eficiente de los recursos hídricos, tratamiento de aguas residuales, reciclado y tecnologías de reutilización</t>
  </si>
  <si>
    <t>Cooperación internacional, apoyo a países en desarrollo, creación de capacidad, agua, saneamiento, captación de agua, desalinización, uso eficiente de los recursos hídricos, tratamiento de aguas residuales, reciclado, tecnologías de reutilización, ODS 6.</t>
  </si>
  <si>
    <t>6.b</t>
  </si>
  <si>
    <t>Disponibilidad y gestión sostenible del agua. Agua potable, Saneamiento, Gestión sostenible, Desarrollo Sostenible.         
 Gestión comunitaria del agua, fontaneros veredales.</t>
  </si>
  <si>
    <t>Apoyar y fortalecer la participación de las comunidades locales en la mejora de la gestión del agua y el saneamiento</t>
  </si>
  <si>
    <t>Participación comunitaria, gestión del agua, saneamiento, ODS 6, comunidades locales, mejora, fortalecimiento.</t>
  </si>
  <si>
    <t>7.1</t>
  </si>
  <si>
    <t>Garantizar el acceso a una energía asequible, fiable, sostenible y moderna para todos</t>
  </si>
  <si>
    <t>Energía sostenible, moderna y eficiente. Energía asequible y no contaminante, acceso universal, servicios energéticos, fiables, modernos, energía renovable, electricidad. 	 Electricidad, acceso a energía, servicios modernos.</t>
  </si>
  <si>
    <t>De aquí a 2030, garantizar el acceso universal a servicios energéticos asequibles, fiables y modernos</t>
  </si>
  <si>
    <t>acceso universal, servicios energéticos, asequibles, fiables, modernos, 2030, ODS 7, energía sostenible</t>
  </si>
  <si>
    <t>7.2</t>
  </si>
  <si>
    <t>Energía sostenible, moderna y eficiente. Energía asequible y no contaminante, acceso universal, servicios energéticos, fiables, modernos, energía renovable, electricidad. Energías limpias, solar, eólica, biomasa.</t>
  </si>
  <si>
    <t>De aquí a 2030, aumentar considerablemente la proporción de energía renovable en el conjunto de fuentes energéticas</t>
  </si>
  <si>
    <t>2030, energía renovable, fuentes energéticas, ODS, Objetivo de Desarrollo Sostenible, Meta 7.2.</t>
  </si>
  <si>
    <t>7.3</t>
  </si>
  <si>
    <t>Energía sostenible, moderna y eficiente. Energía asequible y no contaminante, acceso universal, servicios energéticos, fiables, modernos, energía renovable, electricidad.	 Eficiencia energética, reducción de consumo.</t>
  </si>
  <si>
    <t>De aquí a 2030, duplicar la tasa mundial de mejora de la eficiencia energética</t>
  </si>
  <si>
    <t>2030, eficiencia energética, duplicar tasa mundial, Objetivos de Desarrollo Sostenible (ODS), ODS 7.3, energía sostenible.</t>
  </si>
  <si>
    <t>7.a</t>
  </si>
  <si>
    <t>Energía sostenible, moderna y eficiente. Energía asequible y no contaminante, acceso universal, servicios energéticos, fiables, modernos, energía renovable, electricidad. Tecnología energética, inversión en renovables.</t>
  </si>
  <si>
    <t>De aquí a 2030, aumentar la cooperación internacional para facilitar el acceso a la investigación y la tecnología relativas a la energía limpia, incluidas las fuentes renovables, la eficiencia energética y las tecnologías avanzadas y menos contaminantes de combustibles fósiles, y promover la inversión en infraestructura energética y tecnologías limpias</t>
  </si>
  <si>
    <t>Cooperación internacional, acceso a tecnología, energía limpia, fuentes renovables, eficiencia energética, combustibles fósiles menos contaminantes, inversión, infraestructura energética, tecnologías limpias, ODS 7 (referencia al horizonte 2030 y temática energética).</t>
  </si>
  <si>
    <t>7.b</t>
  </si>
  <si>
    <t>Energía sostenible, moderna y eficiente. Energía asequible y no contaminante, acceso universal, servicios energéticos, fiables, modernos, energía renovable, electricidad. Infraestructura eléctrica, modernización de redes.</t>
  </si>
  <si>
    <t>De aquí a 2030, ampliar la infraestructura y mejorar la tecnología para prestar servicios energéticos modernos y sostenibles para todos en los países en desarrollo, en particular los países menos adelantados, los pequeños Estados insulares en desarrollo y los países en desarrollo sin litoral, en consonancia con sus respectivos programas de apoyo</t>
  </si>
  <si>
    <t>Infraestructura, tecnología, servicios energéticos modernos, sostenibles, países en desarrollo, países menos adelantados, pequeños Estados insulares en desarrollo, países en desarrollo sin litoral, programas de apoyo, Objetivo 7 (Energía), ODS.</t>
  </si>
  <si>
    <t>8.1</t>
  </si>
  <si>
    <t>Promover el crecimiento económico sostenido, inclusivo y sostenible, el empleo pleno y productivo y el trabajo decente para todos</t>
  </si>
  <si>
    <t>Crecimiento inclusivo, empleo y trabajo decente. Crecimiento económico, Sostenible, Inclusivo, Empleo pleno, Empleo productivo, Trabajo decente, Estrategia global, Empleo juvenil, empleo personas con discapacidad.  Crecimiento del PIB, desarrollo económico local.</t>
  </si>
  <si>
    <t>Mantener el crecimiento económico per cápita de conformidad con las circunstancias nacionales y, en particular, un crecimiento del producto interno bruto de al menos el 7% anual en los países menos adelantados</t>
  </si>
  <si>
    <t>Crecimiento económico, per cápita, producto interno bruto (PIB), 7% anual, países menos adelantados (PMA), Objetivos de Desarrollo Sostenible (ODS).</t>
  </si>
  <si>
    <t>8.10</t>
  </si>
  <si>
    <t>Crecimiento inclusivo, empleo y trabajo decente. Crecimiento económico, Sostenible, Inclusivo, Empleo pleno, Empleo productivo, Trabajo decente, Estrategia global, Empleo juvenil, empleo personas con discapacidad. Seguros agropecuarios, acceso a créditos. Bancarización, cajeros automáticos, servicios financieros.</t>
  </si>
  <si>
    <t>Fortalecer la capacidad de las instituciones financieras nacionales para fomentar y ampliar el acceso a los servicios bancarios, financieros y de seguros para todos</t>
  </si>
  <si>
    <t>instituciones financieras, servicios bancarios, servicios financieros, seguros, acceso universal, Objetivos de Desarrollo Sostenible, ODS 8.10</t>
  </si>
  <si>
    <t>8.2</t>
  </si>
  <si>
    <t>Crecimiento inclusivo, empleo y trabajo decente. Crecimiento económico, Sostenible, Inclusivo, Empleo pleno, Empleo productivo, Trabajo decente, Estrategia global, Empleo juvenil, empleo personas con discapacidad. Transformación de frutales/yuca, agroindustria, subsidios a maquinaria y tecnología,,,. Valor añadido, innovación productiva.</t>
  </si>
  <si>
    <t>Lograr niveles más elevados de productividad económica mediante la diversificación, la modernización tecnológica y la innovación, entre otras cosas centrándose en los sectores con gran valor añadido y un uso intensivo de la mano de obra</t>
  </si>
  <si>
    <t>Productividad económica, diversificación, modernización tecnológica, innovación, gran valor añadido, uso intensivo de la mano de obra, ODS 8.2.</t>
  </si>
  <si>
    <t>8.3</t>
  </si>
  <si>
    <t>Crecimiento inclusivo, empleo y trabajo decente. Crecimiento económico, Sostenible, Inclusivo, Empleo pleno, Empleo productivo, Trabajo decente, Estrategia global, Empleo juvenil, empleo personas con discapacidad. Formalización minera, fondos rotatorios, asociatividad, microempresas rurales, asistencia técnica, comercialización,,,,,,,. PYMES, economía solidaria.</t>
  </si>
  <si>
    <t>Promover políticas orientadas al desarrollo que apoyen las actividades productivas, la creación de puestos de trabajo decentes, el emprendimiento, la creatividad y la innovación, y fomentar la formalización y el crecimiento de las microempresas y las pequeñas y medianas empresas, incluso mediante el acceso a servicios financieros</t>
  </si>
  <si>
    <t>Políticas de desarrollo, actividades productivas, puestos de trabajo decentes, emprendimiento, creatividad, innovación, formalización, crecimiento empresarial, microempresas, pequeñas y medianas empresas (PYMES), acceso a servicios financieros, ODS 8.</t>
  </si>
  <si>
    <t>8.4</t>
  </si>
  <si>
    <t>Crecimiento inclusivo, empleo y trabajo decente. Crecimiento económico, Sostenible, Inclusivo, Empleo pleno, Empleo productivo, Trabajo decente, Estrategia global, Empleo juvenil, empleo personas con discapacidad. Desvinculación crecimiento-degradación, eficiencia de recursos.</t>
  </si>
  <si>
    <t>Mejorar progresivamente, de aquí a 2030, la producción y el consumo eficientes de los recursos mundiales y procurar desvincular el crecimiento económico de la degradación del medio ambiente, conforme al Marco Decenal de Programas sobre Modalidades de Consumo y Producción Sostenibles, empezando por los países desarrollados</t>
  </si>
  <si>
    <t>2030, producción, consumo eficiente, recursos mundiales, crecimiento económico, degradación medio ambiente, Marco Decenal de Programas, consumo y producción sostenibles, países desarrollados</t>
  </si>
  <si>
    <t>8.5</t>
  </si>
  <si>
    <t>Crecimiento inclusivo, empleo y trabajo decente. Crecimiento económico, Sostenible, Inclusivo, Empleo pleno, Empleo productivo, Trabajo decente, Estrategia global, Empleo juvenil, empleo personas con discapacidad. Guardabosques (empleo verde), ingresos para mujeres rurales, piscicultura (empleo local),,. Igualdad de remuneración, desempleo.</t>
  </si>
  <si>
    <t>De aquí a 2030, lograr el empleo pleno y productivo y el trabajo decente para todas las mujeres y los hombres, incluidos los jóvenes y las personas con discapacidad, así como la igualdad de remuneración por trabajo de igual valor</t>
  </si>
  <si>
    <t>2030, empleo pleno, empleo productivo, trabajo decente, mujeres, hombres, jóvenes, personas con discapacidad, igualdad de remuneración, trabajo de igual valor, ODS.</t>
  </si>
  <si>
    <t>8.6</t>
  </si>
  <si>
    <t>Crecimiento inclusivo, empleo y trabajo decente. Crecimiento económico, Sostenible, Inclusivo, Empleo pleno, Empleo productivo, Trabajo decente, Estrategia global, Empleo juvenil, empleo personas con discapacidad. Jóvenes "ni-ni", empleo juvenil, capacitación laboral.</t>
  </si>
  <si>
    <t>De aquí a 2020, reducir considerablemente la proporción de jóvenes que no están empleados y no cursan estudios ni reciben capacitación</t>
  </si>
  <si>
    <t>jóvenes, empleo, estudios, capacitación, reducir, desempleo juvenil, ODS, meta 2020</t>
  </si>
  <si>
    <t>8.7</t>
  </si>
  <si>
    <t>Crecimiento inclusivo, empleo y trabajo decente. Crecimiento económico, Sostenible, Inclusivo, Empleo pleno, Empleo productivo, Trabajo decente, Estrategia global, Empleo juvenil, empleo personas con discapacidad. Derechos de la infancia, trata de personas laboral.</t>
  </si>
  <si>
    <t xml:space="preserve">Adoptar medidas inmediatas y eficaces para erradicar el trabajo forzoso, poner fin a las formas contemporáneas de esclavitud y la trata de personas y asegurar la prohibición y eliminación de las peores formas de trabajo infantil, incluidos el reclutamiento y la utilización de niños soldados, y, de aquí a 2025, poner fin al trabajo infantil en todas sus formas </t>
  </si>
  <si>
    <t>Trabajo forzoso, esclavitud moderna, trata de personas, trabajo infantil, peores formas de trabajo infantil, niños soldados, ODS (Objetivos de Desarrollo Sostenible).</t>
  </si>
  <si>
    <t>8.8</t>
  </si>
  <si>
    <t>Crecimiento inclusivo, empleo y trabajo decente. Crecimiento económico, Sostenible, Inclusivo, Empleo pleno, Empleo productivo, Trabajo decente, Estrategia global, Empleo juvenil, empleo personas con discapacidad.  Seguridad y salud en el trabajo, derechos de trabajadores.</t>
  </si>
  <si>
    <t>Proteger los derechos laborales y promover un entorno de trabajo seguro y sin riesgos para todos los trabajadores, incluidos los trabajadores migrantes, en particular las mujeres migrantes y las personas con empleos precarios</t>
  </si>
  <si>
    <t>derechos laborales, trabajo seguro, entorno sin riesgos, trabajadores, trabajadores migrantes, mujeres migrantes, empleos precarios, ODS 8.8</t>
  </si>
  <si>
    <t>8.9</t>
  </si>
  <si>
    <t>Crecimiento inclusivo, empleo y trabajo decente. Crecimiento económico, Sostenible, Inclusivo, Empleo pleno, Empleo productivo, Trabajo decente, Estrategia global, Empleo juvenil, empleo personas con discapacidad.Turismo ecológico, senderos, avistamiento, muelles turísticos, plan de desarrollo turístico sostenible,,. Cultura local, productos locales.</t>
  </si>
  <si>
    <t>De aquí a 2030, elaborar y poner en práctica políticas encaminadas a promover un turismo sostenible que cree puestos de trabajo y promueva la cultura y los productos locales</t>
  </si>
  <si>
    <t>Turismo sostenible, políticas, 2030, puestos de trabajo, cultura, productos locales, ODS, Agenda 2030, meta 8.9.</t>
  </si>
  <si>
    <t>8.a</t>
  </si>
  <si>
    <t>Crecimiento inclusivo, empleo y trabajo decente. Crecimiento económico, Sostenible, Inclusivo, Empleo pleno, Empleo productivo, Trabajo decente, Estrategia global, Empleo juvenil, empleo personas con discapacidad. Comercio internacional, asistencia técnica comercial.</t>
  </si>
  <si>
    <t>Aumentar el apoyo a la iniciativa de ayuda para el comercio en los países en desarrollo, en particular los países menos adelantados, incluso mediante el Marco Integrado Mejorado para la Asistencia Técnica a los Países Menos Adelantados en Materia de Comercio</t>
  </si>
  <si>
    <t>Ayuda para el comercio, países en desarrollo, países menos adelantados (PMA), Marco Integrado Mejorado (MIM), asistencia técnica, comercio, apoyo.</t>
  </si>
  <si>
    <t>8.b</t>
  </si>
  <si>
    <t>Crecimiento inclusivo, empleo y trabajo decente. Crecimiento económico, Sostenible, Inclusivo, Empleo pleno, Empleo productivo, Trabajo decente, Estrategia global, Empleo juvenil, empleo personas con discapacidad.  Estrategia de empleo juvenil, OIT.</t>
  </si>
  <si>
    <t>De aquí a 2020, desarrollar y poner en marcha una estrategia mundial para el empleo de los jóvenes y aplicar el Pacto Mundial para el Empleo de la Organización Internacional del Trabajo</t>
  </si>
  <si>
    <t>Estrategia mundial, empleo de los jóvenes, Pacto Mundial para el Empleo, OIT, Objetivos de Desarrollo Sostenible (ODS), 2020.</t>
  </si>
  <si>
    <t>9.1</t>
  </si>
  <si>
    <t>Construir infraestructuras resilientes, promover la industrialización inclusiva y sostenible y fomentar la innovación</t>
  </si>
  <si>
    <t>Infraestructura resiliente, industrialización e innovación. infraestructuras resilientes, industrialización inclusiva, industrialización sostenible, innovación, tecnología de la información y las comunicaciones, TIC, objetivos de desarrollo sostenible.</t>
  </si>
  <si>
    <t>Desarrollar infraestructuras fiables, sostenibles, resilientes y de calidad, incluidas infraestructuras regionales y transfronterizas, para apoyar el desarrollo económico y el bienestar humano, haciendo especial hincapié en el acceso asequible y equitativo para todos</t>
  </si>
  <si>
    <t>infraestructuras, fiables, sostenibles, resilientes, calidad, regionales, transfronterizas, desarrollo económico, bienestar humano, acceso asequible, acceso equitativo</t>
  </si>
  <si>
    <t>9.2</t>
  </si>
  <si>
    <t>Promover una industrialización inclusiva y sostenible y, de aquí a 2030, aumentar significativamente la contribución de la industria al empleo y al producto interno bruto, de acuerdo con las circunstancias nacionales, y duplicar esa contribución en los países menos adelantados</t>
  </si>
  <si>
    <t>Industrialización, inclusiva, sostenible, 2030, empleo, producto interno bruto, países menos adelantados, desarrollo sostenible</t>
  </si>
  <si>
    <t>9.3</t>
  </si>
  <si>
    <t>Aumentar el acceso de las pequeñas industrias y otras empresas, particularmente en los países en desarrollo, a los servicios financieros, incluidos créditos asequibles, y su integración en las cadenas de valor y los mercados</t>
  </si>
  <si>
    <t>Pequeñas industrias, empresas, países en desarrollo, acceso a servicios financieros, créditos asequibles, integración en cadenas de valor, mercados, Objetivos de Desarrollo Sostenible (ODS), Meta 9.3, financiación PYMES.</t>
  </si>
  <si>
    <t>9.4</t>
  </si>
  <si>
    <t>De aquí a 2030, modernizar la infraestructura y reconvertir las industrias para que sean sostenibles, utilizando los recursos con mayor eficacia y promoviendo la adopción de tecnologías y procesos industriales limpios y ambientalmente racionales, y logrando que todos los países tomen medidas de acuerdo con sus capacidades respectivas</t>
  </si>
  <si>
    <t>2030, modernizar infraestructura, industrias sostenibles, recursos, mayor eficacia, tecnologías limpias, procesos industriales, ambientalmente racionales, capacidades respectivas, Objetivo de Desarrollo Sostenible (ODS), Meta 9.4.</t>
  </si>
  <si>
    <t>9.5</t>
  </si>
  <si>
    <t>Aumentar la investigación científica y mejorar la capacidad tecnológica de los sectores industriales de todos los países, en particular los países en desarrollo, entre otras cosas fomentando la innovación y aumentando considerablemente, de aquí a 2030, el número de personas que trabajan en investigación y desarrollo por millón de habitantes y los gastos de los sectores público y privado en investigación y desarrollo</t>
  </si>
  <si>
    <t>Investigación científica, Capacidad tecnológica, Sectores industriales, Países en desarrollo, Innovación, Investigación y desarrollo (I+D), Gasto I+D, 2030, Objetivo de Desarrollo Sostenible (ODS), Meta 9.5.</t>
  </si>
  <si>
    <t>9.a</t>
  </si>
  <si>
    <t>Facilitar el desarrollo de infraestructuras sostenibles y resilientes en los países en desarrollo mediante un mayor apoyo financiero, tecnológico y técnico a los países africanos, los países menos adelantados, los países en desarrollo sin litoral y los pequeños Estados insulares en desarrollo</t>
  </si>
  <si>
    <t>infraestructuras sostenibles, infraestructuras resilientes, países en desarrollo, apoyo financiero, apoyo tecnológico, apoyo técnico, países africanos, países menos adelantados, países en desarrollo sin litoral, pequeños Estados insulares en desarrollo, Objetivos de Desarrollo Sostenible (ODS).</t>
  </si>
  <si>
    <t>9.b</t>
  </si>
  <si>
    <t>Apoyar el desarrollo de tecnologías, la investigación y la innovación nacionales en los países en desarrollo, incluso garantizando un entorno normativo propicio a la diversificación industrial y la adición de valor a los productos básicos, entre otras cosas</t>
  </si>
  <si>
    <t>tecnologías, investigación, innovación, países en desarrollo, entorno normativo, diversificación industrial, adición de valor, productos básicos, ODS.</t>
  </si>
  <si>
    <t>9.c</t>
  </si>
  <si>
    <t>Aumentar significativamente el acceso a la tecnología de la información y las comunicaciones y esforzarse por proporcionar acceso universal y asequible a Internet en los países menos adelantados de aquí a 2020</t>
  </si>
  <si>
    <t>Acceso a tecnología, TIC, Internet universal, Internet asequible, Países menos adelantados, Brecha digital, ODS, Meta 2020.</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</si>
</sst>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color theme="1"/>
      <name val="Calibri"/>
    </font>
    <font>
      <color theme="1"/>
      <name val="Calibri"/>
      <scheme val="minor"/>
    </font>
    <font>
      <color theme="1"/>
      <name val="Calibri"/>
    </font>
    <font>
      <color rgb="FF1F1F1F"/>
      <name val="Arial"/>
    </font>
  </fonts>
  <fills count="3">
    <fill>
      <patternFill patternType="none"/>
    </fill>
    <fill>
      <patternFill patternType="lightGray"/>
    </fill>
    <fill>
      <patternFill patternType="solid">
        <fgColor rgb="FFF0F4F9"/>
        <bgColor rgb="FFF0F4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readingOrder="0" shrinkToFit="0" vertical="top" wrapText="1"/>
    </xf>
    <xf borderId="0" fillId="0" fontId="2" numFmtId="0" xfId="0" applyAlignment="1" applyFont="1">
      <alignment readingOrder="0"/>
    </xf>
    <xf borderId="0" fillId="0" fontId="3" numFmtId="0" xfId="0" applyFont="1"/>
    <xf borderId="0" fillId="0" fontId="3" numFmtId="0" xfId="0" applyAlignment="1" applyFont="1">
      <alignment readingOrder="0" shrinkToFit="0" wrapText="1"/>
    </xf>
    <xf borderId="0" fillId="2" fontId="4" numFmtId="0" xfId="0" applyFill="1" applyFont="1"/>
    <xf borderId="0" fillId="0" fontId="2" numFmtId="0" xfId="0" applyFont="1"/>
    <xf borderId="0" fillId="0" fontId="3" numFmtId="0" xfId="0" applyAlignment="1" applyFont="1">
      <alignment readingOrder="0"/>
    </xf>
    <xf borderId="0" fillId="0" fontId="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90.43"/>
    <col customWidth="1" min="3" max="4" width="94.57"/>
    <col customWidth="1" min="5" max="5" width="8.71"/>
    <col customWidth="1" min="6" max="6" width="14.0"/>
    <col customWidth="1" min="7" max="7" width="32.71"/>
    <col customWidth="1" min="8" max="27" width="8.71"/>
  </cols>
  <sheetData>
    <row r="1">
      <c r="A1" s="1" t="s">
        <v>0</v>
      </c>
      <c r="B1" s="1" t="s">
        <v>1</v>
      </c>
      <c r="C1" s="2" t="s">
        <v>2</v>
      </c>
      <c r="D1" s="1" t="s">
        <v>3</v>
      </c>
      <c r="E1" s="1" t="s">
        <v>4</v>
      </c>
      <c r="F1" s="3" t="s">
        <v>5</v>
      </c>
      <c r="G1" s="3" t="s">
        <v>6</v>
      </c>
    </row>
    <row r="2">
      <c r="A2" s="4" t="s">
        <v>7</v>
      </c>
      <c r="B2" s="4" t="s">
        <v>8</v>
      </c>
      <c r="C2" s="5" t="s">
        <v>9</v>
      </c>
      <c r="D2" s="4" t="s">
        <v>10</v>
      </c>
      <c r="E2" s="6">
        <v>1.0</v>
      </c>
      <c r="F2" s="6" t="str">
        <f>IFERROR(__xludf.DUMMYFUNCTION("AI(""genera palabras clave a partir de la descripción proporcionanda teniendo en cuenta que está relacionada con metas de objetivos de desarrollo sostenible"",D2)"),"pobreza extrema, erradicar, 2030, 1,25 dólares, Objetivos de Desarrollo Sostenible (ODS), Fin de la Pobreza")</f>
        <v>pobreza extrema, erradicar, 2030, 1,25 dólares, Objetivos de Desarrollo Sostenible (ODS), Fin de la Pobreza</v>
      </c>
      <c r="G2" s="7" t="s">
        <v>11</v>
      </c>
    </row>
    <row r="3">
      <c r="A3" s="4" t="s">
        <v>12</v>
      </c>
      <c r="B3" s="4" t="s">
        <v>8</v>
      </c>
      <c r="C3" s="5" t="s">
        <v>13</v>
      </c>
      <c r="D3" s="4" t="s">
        <v>14</v>
      </c>
      <c r="E3" s="4">
        <v>1.0</v>
      </c>
      <c r="F3" s="6" t="str">
        <f>IFERROR(__xludf.DUMMYFUNCTION("AI(""genera palabras clave a partir de la descripción proporcionanda teniendo en cuenta que está relacionada con metas de objetivos de desarrollo sostenible"",D3)"),"Pobreza, Reducción, 2030, Pobreza Multidimensional, Metas ODS, Objetivo 1.")</f>
        <v>Pobreza, Reducción, 2030, Pobreza Multidimensional, Metas ODS, Objetivo 1.</v>
      </c>
      <c r="G3" s="7" t="s">
        <v>15</v>
      </c>
    </row>
    <row r="4">
      <c r="A4" s="4" t="s">
        <v>16</v>
      </c>
      <c r="B4" s="4" t="s">
        <v>8</v>
      </c>
      <c r="C4" s="5" t="s">
        <v>17</v>
      </c>
      <c r="D4" s="4" t="s">
        <v>18</v>
      </c>
      <c r="E4" s="4">
        <v>1.0</v>
      </c>
      <c r="F4" s="6" t="str">
        <f>IFERROR(__xludf.DUMMYFUNCTION("AI(""genera palabras clave a partir de la descripción proporcionanda teniendo en cuenta que está relacionada con metas de objetivos de desarrollo sostenible"",D4)"),"protección social, niveles mínimos, cobertura, personas pobres, personas vulnerables, 2030, Objetivo de Desarrollo Sostenible (ODS)")</f>
        <v>protección social, niveles mínimos, cobertura, personas pobres, personas vulnerables, 2030, Objetivo de Desarrollo Sostenible (ODS)</v>
      </c>
      <c r="G4" s="7" t="s">
        <v>19</v>
      </c>
    </row>
    <row r="5">
      <c r="A5" s="4" t="s">
        <v>20</v>
      </c>
      <c r="B5" s="4" t="s">
        <v>8</v>
      </c>
      <c r="C5" s="5" t="s">
        <v>21</v>
      </c>
      <c r="D5" s="4" t="s">
        <v>22</v>
      </c>
      <c r="E5" s="4">
        <v>1.0</v>
      </c>
      <c r="F5" s="6" t="str">
        <f>IFERROR(__xludf.DUMMYFUNCTION("AI(""genera palabras clave a partir de la descripción proporcionanda teniendo en cuenta que está relacionada con metas de objetivos de desarrollo sostenible"",D5)"),"derechos económicos, servicios básicos, propiedad de la tierra, herencia, recursos naturales, nuevas tecnologías, servicios financieros, microfinanciación, igualdad, 2030, pobres y vulnerables, desarrollo sostenible")</f>
        <v>derechos económicos, servicios básicos, propiedad de la tierra, herencia, recursos naturales, nuevas tecnologías, servicios financieros, microfinanciación, igualdad, 2030, pobres y vulnerables, desarrollo sostenible</v>
      </c>
      <c r="G5" s="7" t="s">
        <v>23</v>
      </c>
    </row>
    <row r="6">
      <c r="A6" s="4" t="s">
        <v>24</v>
      </c>
      <c r="B6" s="4" t="s">
        <v>8</v>
      </c>
      <c r="C6" s="5" t="s">
        <v>25</v>
      </c>
      <c r="D6" s="4" t="s">
        <v>26</v>
      </c>
      <c r="E6" s="4">
        <v>1.0</v>
      </c>
      <c r="F6" s="6" t="str">
        <f>IFERROR(__xludf.DUMMYFUNCTION("AI(""genera palabras clave a partir de la descripción proporcionanda teniendo en cuenta que está relacionada con metas de objetivos de desarrollo sostenible"",D6)"),"2030, resiliencia, pobres, vulnerabilidad, fenómenos extremos, clima, perturbaciones, desastres económicos, desastres sociales, desastres ambientales, Objetivos de Desarrollo Sostenible (ODS)")</f>
        <v>2030, resiliencia, pobres, vulnerabilidad, fenómenos extremos, clima, perturbaciones, desastres económicos, desastres sociales, desastres ambientales, Objetivos de Desarrollo Sostenible (ODS)</v>
      </c>
      <c r="G6" s="7" t="s">
        <v>27</v>
      </c>
    </row>
    <row r="7">
      <c r="A7" s="4" t="s">
        <v>28</v>
      </c>
      <c r="B7" s="4" t="s">
        <v>8</v>
      </c>
      <c r="C7" s="5" t="s">
        <v>29</v>
      </c>
      <c r="D7" s="4" t="s">
        <v>30</v>
      </c>
      <c r="E7" s="4">
        <v>1.0</v>
      </c>
      <c r="F7" s="6" t="str">
        <f>IFERROR(__xludf.DUMMYFUNCTION("AI(""genera palabras clave a partir de la descripción proporcionanda teniendo en cuenta que está relacionada con metas de objetivos de desarrollo sostenible"",D7)"),"Movilización de recursos, Cooperación para el desarrollo, Países en desarrollo, Países menos adelantados, Poner fin a la pobreza, Medios suficientes y previsibles, Programas y políticas.")</f>
        <v>Movilización de recursos, Cooperación para el desarrollo, Países en desarrollo, Países menos adelantados, Poner fin a la pobreza, Medios suficientes y previsibles, Programas y políticas.</v>
      </c>
      <c r="G7" s="7" t="s">
        <v>31</v>
      </c>
    </row>
    <row r="8">
      <c r="A8" s="4" t="s">
        <v>32</v>
      </c>
      <c r="B8" s="4" t="s">
        <v>8</v>
      </c>
      <c r="C8" s="5" t="s">
        <v>33</v>
      </c>
      <c r="D8" s="4" t="s">
        <v>34</v>
      </c>
      <c r="E8" s="4">
        <v>1.0</v>
      </c>
      <c r="F8" s="6" t="str">
        <f>IFERROR(__xludf.DUMMYFUNCTION("AI(""genera palabras clave a partir de la descripción proporcionanda teniendo en cuenta que está relacionada con metas de objetivos de desarrollo sostenible"",D8)"),"Marcos normativos, desarrollo, estrategias en favor de los pobres, cuestiones de género, inversión acelerada, erradicar la pobreza, nacional, regional, internacional.")</f>
        <v>Marcos normativos, desarrollo, estrategias en favor de los pobres, cuestiones de género, inversión acelerada, erradicar la pobreza, nacional, regional, internacional.</v>
      </c>
      <c r="G8" s="7" t="s">
        <v>35</v>
      </c>
    </row>
    <row r="9">
      <c r="A9" s="4" t="s">
        <v>36</v>
      </c>
      <c r="B9" s="4" t="s">
        <v>37</v>
      </c>
      <c r="C9" s="5" t="s">
        <v>38</v>
      </c>
      <c r="D9" s="4" t="s">
        <v>39</v>
      </c>
      <c r="E9" s="4">
        <v>10.0</v>
      </c>
      <c r="F9" s="6" t="str">
        <f>IFERROR(__xludf.DUMMYFUNCTION("AI(""genera palabras clave a partir de la descripción proporcionanda teniendo en cuenta que está relacionada con metas de objetivos de desarrollo sostenible"",D9)"),"2030, crecimiento de ingresos, 40% más pobre, población, media nacional, reducir desigualdades, ODS 10")</f>
        <v>2030, crecimiento de ingresos, 40% más pobre, población, media nacional, reducir desigualdades, ODS 10</v>
      </c>
      <c r="G9" s="7" t="s">
        <v>40</v>
      </c>
    </row>
    <row r="10">
      <c r="A10" s="4" t="s">
        <v>41</v>
      </c>
      <c r="B10" s="4" t="s">
        <v>37</v>
      </c>
      <c r="C10" s="5" t="s">
        <v>42</v>
      </c>
      <c r="D10" s="4" t="s">
        <v>43</v>
      </c>
      <c r="E10" s="4">
        <v>10.0</v>
      </c>
      <c r="F10" s="6" t="str">
        <f>IFERROR(__xludf.DUMMYFUNCTION("AI(""genera palabras clave a partir de la descripción proporcionanda teniendo en cuenta que está relacionada con metas de objetivos de desarrollo sostenible"",D10)"),"2030, inclusión social, inclusión económica, inclusión política, desigualdad, edad, sexo, discapacidad, raza, etnia, origen, religión, condición económica, ODS, meta 10.2.")</f>
        <v>2030, inclusión social, inclusión económica, inclusión política, desigualdad, edad, sexo, discapacidad, raza, etnia, origen, religión, condición económica, ODS, meta 10.2.</v>
      </c>
      <c r="G10" s="7" t="s">
        <v>44</v>
      </c>
    </row>
    <row r="11">
      <c r="A11" s="4" t="s">
        <v>45</v>
      </c>
      <c r="B11" s="4" t="s">
        <v>37</v>
      </c>
      <c r="C11" s="5" t="s">
        <v>46</v>
      </c>
      <c r="D11" s="4" t="s">
        <v>47</v>
      </c>
      <c r="E11" s="4">
        <v>10.0</v>
      </c>
      <c r="F11" s="6" t="str">
        <f>IFERROR(__xludf.DUMMYFUNCTION("AI(""genera palabras clave a partir de la descripción proporcionanda teniendo en cuenta que está relacionada con metas de objetivos de desarrollo sostenible"",D11)"),"Igualdad de oportunidades, reducir desigualdad, leyes discriminatorias, políticas discriminatorias, prácticas discriminatorias, legislaciones adecuadas, políticas adecuadas, medidas adecuadas, ODS 10.3, Reducción de las desigualdades.")</f>
        <v>Igualdad de oportunidades, reducir desigualdad, leyes discriminatorias, políticas discriminatorias, prácticas discriminatorias, legislaciones adecuadas, políticas adecuadas, medidas adecuadas, ODS 10.3, Reducción de las desigualdades.</v>
      </c>
      <c r="G11" s="7" t="s">
        <v>48</v>
      </c>
    </row>
    <row r="12">
      <c r="A12" s="4" t="s">
        <v>49</v>
      </c>
      <c r="B12" s="4" t="s">
        <v>37</v>
      </c>
      <c r="C12" s="5" t="s">
        <v>50</v>
      </c>
      <c r="D12" s="4" t="s">
        <v>51</v>
      </c>
      <c r="E12" s="4">
        <v>10.0</v>
      </c>
      <c r="F12" s="6" t="str">
        <f>IFERROR(__xludf.DUMMYFUNCTION("AI(""genera palabras clave a partir de la descripción proporcionanda teniendo en cuenta que está relacionada con metas de objetivos de desarrollo sostenible"",D12)"),"Políticas, fiscales, salariales, protección social, igualdad, desigualdad, ODS 10.")</f>
        <v>Políticas, fiscales, salariales, protección social, igualdad, desigualdad, ODS 10.</v>
      </c>
      <c r="G12" s="7" t="s">
        <v>52</v>
      </c>
    </row>
    <row r="13">
      <c r="A13" s="4" t="s">
        <v>53</v>
      </c>
      <c r="B13" s="4" t="s">
        <v>37</v>
      </c>
      <c r="C13" s="5" t="s">
        <v>54</v>
      </c>
      <c r="D13" s="4" t="s">
        <v>55</v>
      </c>
      <c r="E13" s="4">
        <v>10.0</v>
      </c>
      <c r="F13" s="6" t="str">
        <f>IFERROR(__xludf.DUMMYFUNCTION("AI(""genera palabras clave a partir de la descripción proporcionanda teniendo en cuenta que está relacionada con metas de objetivos de desarrollo sostenible"",D13)"),"Reglamentación financiera, Vigilancia financiera, Instituciones financieras mundiales, Mercados financieros, Objetivos de Desarrollo Sostenible (ODS), Fortalecer la aplicación.")</f>
        <v>Reglamentación financiera, Vigilancia financiera, Instituciones financieras mundiales, Mercados financieros, Objetivos de Desarrollo Sostenible (ODS), Fortalecer la aplicación.</v>
      </c>
      <c r="G13" s="7" t="s">
        <v>56</v>
      </c>
    </row>
    <row r="14">
      <c r="A14" s="4" t="s">
        <v>57</v>
      </c>
      <c r="B14" s="4" t="s">
        <v>37</v>
      </c>
      <c r="C14" s="5" t="s">
        <v>58</v>
      </c>
      <c r="D14" s="4" t="s">
        <v>59</v>
      </c>
      <c r="E14" s="4">
        <v>10.0</v>
      </c>
      <c r="F14" s="6" t="str">
        <f>IFERROR(__xludf.DUMMYFUNCTION("AI(""genera palabras clave a partir de la descripción proporcionanda teniendo en cuenta que está relacionada con metas de objetivos de desarrollo sostenible"",D14)"),"Países en desarrollo, instituciones económicas y financieras internacionales, representación, intervención, eficacia, fiabilidad, rendición de cuentas, legitimidad, Objetivos de Desarrollo Sostenible (ODS)")</f>
        <v>Países en desarrollo, instituciones económicas y financieras internacionales, representación, intervención, eficacia, fiabilidad, rendición de cuentas, legitimidad, Objetivos de Desarrollo Sostenible (ODS)</v>
      </c>
      <c r="G14" s="7" t="s">
        <v>60</v>
      </c>
    </row>
    <row r="15">
      <c r="A15" s="4" t="s">
        <v>61</v>
      </c>
      <c r="B15" s="4" t="s">
        <v>37</v>
      </c>
      <c r="C15" s="5" t="s">
        <v>62</v>
      </c>
      <c r="D15" s="4" t="s">
        <v>63</v>
      </c>
      <c r="E15" s="4">
        <v>10.0</v>
      </c>
      <c r="F15" s="6" t="str">
        <f>IFERROR(__xludf.DUMMYFUNCTION("AI(""genera palabras clave a partir de la descripción proporcionanda teniendo en cuenta que está relacionada con metas de objetivos de desarrollo sostenible"",D15)"),"Migración, movilidad, segura, ordenada, regular, responsable, políticas migratorias, objetivos de desarrollo sostenible (ODS), gobernanza de la migración.")</f>
        <v>Migración, movilidad, segura, ordenada, regular, responsable, políticas migratorias, objetivos de desarrollo sostenible (ODS), gobernanza de la migración.</v>
      </c>
      <c r="G15" s="7" t="s">
        <v>64</v>
      </c>
    </row>
    <row r="16">
      <c r="A16" s="4" t="s">
        <v>65</v>
      </c>
      <c r="B16" s="4" t="s">
        <v>37</v>
      </c>
      <c r="C16" s="5" t="s">
        <v>66</v>
      </c>
      <c r="D16" s="4" t="s">
        <v>67</v>
      </c>
      <c r="E16" s="4">
        <v>10.0</v>
      </c>
      <c r="F16" s="6" t="str">
        <f>IFERROR(__xludf.DUMMYFUNCTION("AI(""genera palabras clave a partir de la descripción proporcionanda teniendo en cuenta que está relacionada con metas de objetivos de desarrollo sostenible"",D16)"),"Trato especial y diferenciado, Países en desarrollo, Países menos adelantados (PMA), Organización Mundial del Comercio (OMC), Acuerdos comerciales, Desarrollo sostenible, Reducción de desigualdades, Cooperación internacional.")</f>
        <v>Trato especial y diferenciado, Países en desarrollo, Países menos adelantados (PMA), Organización Mundial del Comercio (OMC), Acuerdos comerciales, Desarrollo sostenible, Reducción de desigualdades, Cooperación internacional.</v>
      </c>
      <c r="G16" s="7" t="s">
        <v>68</v>
      </c>
    </row>
    <row r="17">
      <c r="A17" s="4" t="s">
        <v>69</v>
      </c>
      <c r="B17" s="4" t="s">
        <v>37</v>
      </c>
      <c r="C17" s="5" t="s">
        <v>70</v>
      </c>
      <c r="D17" s="4" t="s">
        <v>71</v>
      </c>
      <c r="E17" s="4">
        <v>10.0</v>
      </c>
      <c r="F17" s="6" t="str">
        <f>IFERROR(__xludf.DUMMYFUNCTION("AI(""genera palabras clave a partir de la descripción proporcionanda teniendo en cuenta que está relacionada con metas de objetivos de desarrollo sostenible"",D17)"),"asistencia oficial para el desarrollo, corrientes financieras, inversión extranjera directa, países menos adelantados, países africanos, pequeños Estados insulares en desarrollo, países en desarrollo sin litoral, planes y programas nacionales")</f>
        <v>asistencia oficial para el desarrollo, corrientes financieras, inversión extranjera directa, países menos adelantados, países africanos, pequeños Estados insulares en desarrollo, países en desarrollo sin litoral, planes y programas nacionales</v>
      </c>
      <c r="G17" s="7" t="s">
        <v>72</v>
      </c>
    </row>
    <row r="18" ht="31.5" customHeight="1">
      <c r="A18" s="4" t="s">
        <v>73</v>
      </c>
      <c r="B18" s="4" t="s">
        <v>37</v>
      </c>
      <c r="C18" s="5" t="s">
        <v>74</v>
      </c>
      <c r="D18" s="4" t="s">
        <v>75</v>
      </c>
      <c r="E18" s="4">
        <v>10.0</v>
      </c>
      <c r="F18" s="6" t="str">
        <f>IFERROR(__xludf.DUMMYFUNCTION("AI(""genera palabras clave a partir de la descripción proporcionanda teniendo en cuenta que está relacionada con metas de objetivos de desarrollo sostenible"",D18)"),"2030
reducir costos
3%
costos de transacción
remesas
migrantes
eliminar corredores
5%
Objetivos de Desarrollo Sostenible (ODS)")</f>
        <v>2030
reducir costos
3%
costos de transacción
remesas
migrantes
eliminar corredores
5%
Objetivos de Desarrollo Sostenible (ODS)</v>
      </c>
      <c r="G18" s="7" t="s">
        <v>76</v>
      </c>
    </row>
    <row r="19">
      <c r="A19" s="4" t="s">
        <v>77</v>
      </c>
      <c r="B19" s="4" t="s">
        <v>78</v>
      </c>
      <c r="C19" s="5" t="s">
        <v>79</v>
      </c>
      <c r="D19" s="4" t="s">
        <v>80</v>
      </c>
      <c r="E19" s="4">
        <v>11.0</v>
      </c>
      <c r="F19" s="6" t="str">
        <f>IFERROR(__xludf.DUMMYFUNCTION("AI(""genera palabras clave a partir de la descripción proporcionanda teniendo en cuenta que está relacionada con metas de objetivos de desarrollo sostenible"",D19)"),"Viviendas, servicios básicos, asequibles, seguros, barrios marginales, Objetivo de Desarrollo Sostenible, 2030.")</f>
        <v>Viviendas, servicios básicos, asequibles, seguros, barrios marginales, Objetivo de Desarrollo Sostenible, 2030.</v>
      </c>
      <c r="G19" s="7" t="s">
        <v>81</v>
      </c>
    </row>
    <row r="20" ht="15.0" customHeight="1">
      <c r="A20" s="4" t="s">
        <v>82</v>
      </c>
      <c r="B20" s="4" t="s">
        <v>78</v>
      </c>
      <c r="C20" s="5" t="s">
        <v>83</v>
      </c>
      <c r="D20" s="4" t="s">
        <v>84</v>
      </c>
      <c r="E20" s="4">
        <v>11.0</v>
      </c>
      <c r="F20" s="6" t="str">
        <f>IFERROR(__xludf.DUMMYFUNCTION("AI(""genera palabras clave a partir de la descripción proporcionanda teniendo en cuenta que está relacionada con metas de objetivos de desarrollo sostenible"",D20)"),"2030
transporte público
transporte seguro
transporte asequible
transporte accesible
transporte sostenible
seguridad vial
personas vulnerables
mujeres
niños
personas con discapacidad
personas de edad
ODS 11.2")</f>
        <v>2030
transporte público
transporte seguro
transporte asequible
transporte accesible
transporte sostenible
seguridad vial
personas vulnerables
mujeres
niños
personas con discapacidad
personas de edad
ODS 11.2</v>
      </c>
      <c r="G20" s="7" t="s">
        <v>85</v>
      </c>
    </row>
    <row r="21" ht="15.75" customHeight="1">
      <c r="A21" s="4" t="s">
        <v>86</v>
      </c>
      <c r="B21" s="4" t="s">
        <v>78</v>
      </c>
      <c r="C21" s="5" t="s">
        <v>87</v>
      </c>
      <c r="D21" s="4" t="s">
        <v>88</v>
      </c>
      <c r="E21" s="4">
        <v>11.0</v>
      </c>
      <c r="F21" s="6" t="str">
        <f>IFERROR(__xludf.DUMMYFUNCTION("AI(""genera palabras clave a partir de la descripción proporcionanda teniendo en cuenta que está relacionada con metas de objetivos de desarrollo sostenible"",D21)"),"Urbanización, inclusiva, sostenible, planificación, gestión participativa, asentamientos humanos, 2030.")</f>
        <v>Urbanización, inclusiva, sostenible, planificación, gestión participativa, asentamientos humanos, 2030.</v>
      </c>
      <c r="G21" s="7" t="s">
        <v>89</v>
      </c>
    </row>
    <row r="22" ht="15.75" customHeight="1">
      <c r="A22" s="4" t="s">
        <v>90</v>
      </c>
      <c r="B22" s="4" t="s">
        <v>78</v>
      </c>
      <c r="C22" s="5" t="s">
        <v>91</v>
      </c>
      <c r="D22" s="4" t="s">
        <v>92</v>
      </c>
      <c r="E22" s="4">
        <v>11.0</v>
      </c>
      <c r="F22" s="6" t="str">
        <f>IFERROR(__xludf.DUMMYFUNCTION("AI(""genera palabras clave a partir de la descripción proporcionanda teniendo en cuenta que está relacionada con metas de objetivos de desarrollo sostenible"",D22)"),"Patrimonio cultural, patrimonio natural, protección, salvaguardar, Objetivos de Desarrollo Sostenible, ODS 11.4.")</f>
        <v>Patrimonio cultural, patrimonio natural, protección, salvaguardar, Objetivos de Desarrollo Sostenible, ODS 11.4.</v>
      </c>
      <c r="G22" s="7" t="s">
        <v>93</v>
      </c>
    </row>
    <row r="23" ht="15.75" customHeight="1">
      <c r="A23" s="4" t="s">
        <v>94</v>
      </c>
      <c r="B23" s="4" t="s">
        <v>78</v>
      </c>
      <c r="C23" s="5" t="s">
        <v>95</v>
      </c>
      <c r="D23" s="4" t="s">
        <v>96</v>
      </c>
      <c r="E23" s="4">
        <v>11.0</v>
      </c>
      <c r="F23" s="6" t="str">
        <f>IFERROR(__xludf.DUMMYFUNCTION("AI(""genera palabras clave a partir de la descripción proporcionanda teniendo en cuenta que está relacionada con metas de objetivos de desarrollo sostenible"",D23)"),"Objetivos de Desarrollo Sostenible, desastres, pérdidas económicas, reducción de riesgos, vulnerabilidad, protección de los pobres, desastres relacionados con el agua, 2030.")</f>
        <v>Objetivos de Desarrollo Sostenible, desastres, pérdidas económicas, reducción de riesgos, vulnerabilidad, protección de los pobres, desastres relacionados con el agua, 2030.</v>
      </c>
      <c r="G23" s="7" t="s">
        <v>97</v>
      </c>
    </row>
    <row r="24" ht="15.75" customHeight="1">
      <c r="A24" s="4" t="s">
        <v>98</v>
      </c>
      <c r="B24" s="4" t="s">
        <v>78</v>
      </c>
      <c r="C24" s="5" t="s">
        <v>99</v>
      </c>
      <c r="D24" s="4" t="s">
        <v>100</v>
      </c>
      <c r="E24" s="4">
        <v>11.0</v>
      </c>
      <c r="F24" s="6" t="str">
        <f>IFERROR(__xludf.DUMMYFUNCTION("AI(""genera palabras clave a partir de la descripción proporcionanda teniendo en cuenta que está relacionada con metas de objetivos de desarrollo sostenible"",D24)"),"ODS, Meta 2030, impacto ambiental negativo, per cápita, ciudades, calidad del aire, gestión de desechos, desechos municipales.")</f>
        <v>ODS, Meta 2030, impacto ambiental negativo, per cápita, ciudades, calidad del aire, gestión de desechos, desechos municipales.</v>
      </c>
      <c r="G24" s="7" t="s">
        <v>101</v>
      </c>
    </row>
    <row r="25" ht="15.75" customHeight="1">
      <c r="A25" s="4" t="s">
        <v>102</v>
      </c>
      <c r="B25" s="4" t="s">
        <v>78</v>
      </c>
      <c r="C25" s="5" t="s">
        <v>103</v>
      </c>
      <c r="D25" s="4" t="s">
        <v>104</v>
      </c>
      <c r="E25" s="4">
        <v>11.0</v>
      </c>
      <c r="F25" s="6" t="str">
        <f>IFERROR(__xludf.DUMMYFUNCTION("AI(""genera palabras clave a partir de la descripción proporcionanda teniendo en cuenta que está relacionada con metas de objetivos de desarrollo sostenible"",D25)"),"2030, acceso universal, zonas verdes, espacios públicos, seguros, inclusivos, accesibles, mujeres, niños, personas de edad, personas con discapacidad, ODS, meta 11.7")</f>
        <v>2030, acceso universal, zonas verdes, espacios públicos, seguros, inclusivos, accesibles, mujeres, niños, personas de edad, personas con discapacidad, ODS, meta 11.7</v>
      </c>
      <c r="G25" s="7" t="s">
        <v>105</v>
      </c>
    </row>
    <row r="26" ht="15.75" customHeight="1">
      <c r="A26" s="4" t="s">
        <v>106</v>
      </c>
      <c r="B26" s="4" t="s">
        <v>78</v>
      </c>
      <c r="C26" s="5" t="s">
        <v>107</v>
      </c>
      <c r="D26" s="4" t="s">
        <v>108</v>
      </c>
      <c r="E26" s="4">
        <v>11.0</v>
      </c>
      <c r="F26" s="6" t="str">
        <f>IFERROR(__xludf.DUMMYFUNCTION("AI(""genera palabras clave a partir de la descripción proporcionanda teniendo en cuenta que está relacionada con metas de objetivos de desarrollo sostenible"",D26)"),"Vínculos urbano-rurales, desarrollo sostenible, planificación del desarrollo, desarrollo nacional, desarrollo regional, aspectos económicos, sociales y ambientales.")</f>
        <v>Vínculos urbano-rurales, desarrollo sostenible, planificación del desarrollo, desarrollo nacional, desarrollo regional, aspectos económicos, sociales y ambientales.</v>
      </c>
      <c r="G26" s="7" t="s">
        <v>109</v>
      </c>
    </row>
    <row r="27" ht="15.75" customHeight="1">
      <c r="A27" s="4" t="s">
        <v>110</v>
      </c>
      <c r="B27" s="4" t="s">
        <v>78</v>
      </c>
      <c r="C27" s="5" t="s">
        <v>111</v>
      </c>
      <c r="D27" s="4" t="s">
        <v>112</v>
      </c>
      <c r="E27" s="4">
        <v>11.0</v>
      </c>
      <c r="F27" s="6" t="str">
        <f>IFERROR(__xludf.DUMMYFUNCTION("AI(""genera palabras clave a partir de la descripción proporcionanda teniendo en cuenta que está relacionada con metas de objetivos de desarrollo sostenible"",D27)"),"ciudades, asentamientos humanos, políticas integradas, inclusión, uso eficiente de recursos, mitigación del cambio climático, adaptación al cambio climático, resiliencia, desastres, Marco de Sendái, gestión integral de riesgos de desastre, ODS 11")</f>
        <v>ciudades, asentamientos humanos, políticas integradas, inclusión, uso eficiente de recursos, mitigación del cambio climático, adaptación al cambio climático, resiliencia, desastres, Marco de Sendái, gestión integral de riesgos de desastre, ODS 11</v>
      </c>
      <c r="G27" s="7" t="s">
        <v>113</v>
      </c>
    </row>
    <row r="28" ht="15.75" customHeight="1">
      <c r="A28" s="4" t="s">
        <v>114</v>
      </c>
      <c r="B28" s="4" t="s">
        <v>78</v>
      </c>
      <c r="C28" s="5" t="s">
        <v>115</v>
      </c>
      <c r="D28" s="4" t="s">
        <v>116</v>
      </c>
      <c r="E28" s="4">
        <v>11.0</v>
      </c>
      <c r="F28" s="6" t="str">
        <f>IFERROR(__xludf.DUMMYFUNCTION("AI(""genera palabras clave a partir de la descripción proporcionanda teniendo en cuenta que está relacionada con metas de objetivos de desarrollo sostenible"",D28)"),"Países menos adelantados, asistencia financiera, asistencia técnica, edificios sostenibles, edificios resilientes, materiales locales, Objetivos de Desarrollo Sostenible (ODS), Infraestructura, Desarrollo sostenible, Cooperación técnica y financiera.")</f>
        <v>Países menos adelantados, asistencia financiera, asistencia técnica, edificios sostenibles, edificios resilientes, materiales locales, Objetivos de Desarrollo Sostenible (ODS), Infraestructura, Desarrollo sostenible, Cooperación técnica y financiera.</v>
      </c>
      <c r="G28" s="7" t="s">
        <v>117</v>
      </c>
    </row>
    <row r="29" ht="15.75" customHeight="1">
      <c r="A29" s="4" t="s">
        <v>118</v>
      </c>
      <c r="B29" s="4" t="s">
        <v>119</v>
      </c>
      <c r="C29" s="5" t="s">
        <v>120</v>
      </c>
      <c r="D29" s="4" t="s">
        <v>121</v>
      </c>
      <c r="E29" s="4">
        <v>12.0</v>
      </c>
      <c r="F29" s="6" t="str">
        <f>IFERROR(__xludf.DUMMYFUNCTION("AI(""genera palabras clave a partir de la descripción proporcionanda teniendo en cuenta que está relacionada con metas de objetivos de desarrollo sostenible"",D29)"),"Marco Decenal de Programas, Consumo Sostenible, Producción Sostenible, Objetivos de Desarrollo Sostenible (ODS), países desarrollados, países en desarrollo, cooperación internacional.")</f>
        <v>Marco Decenal de Programas, Consumo Sostenible, Producción Sostenible, Objetivos de Desarrollo Sostenible (ODS), países desarrollados, países en desarrollo, cooperación internacional.</v>
      </c>
      <c r="G29" s="7" t="s">
        <v>122</v>
      </c>
    </row>
    <row r="30" ht="15.75" customHeight="1">
      <c r="A30" s="4" t="s">
        <v>123</v>
      </c>
      <c r="B30" s="4" t="s">
        <v>119</v>
      </c>
      <c r="C30" s="5" t="s">
        <v>124</v>
      </c>
      <c r="D30" s="4" t="s">
        <v>125</v>
      </c>
      <c r="E30" s="4">
        <v>12.0</v>
      </c>
      <c r="F30" s="6" t="str">
        <f>IFERROR(__xludf.DUMMYFUNCTION("AI(""genera palabras clave a partir de la descripción proporcionanda teniendo en cuenta que está relacionada con metas de objetivos de desarrollo sostenible"",D30)"),"2030, gestión sostenible, uso eficiente, recursos naturales, Objetivos de Desarrollo Sostenible (ODS), Agenda 2030.")</f>
        <v>2030, gestión sostenible, uso eficiente, recursos naturales, Objetivos de Desarrollo Sostenible (ODS), Agenda 2030.</v>
      </c>
      <c r="G30" s="7" t="s">
        <v>126</v>
      </c>
    </row>
    <row r="31" ht="15.75" customHeight="1">
      <c r="A31" s="4" t="s">
        <v>127</v>
      </c>
      <c r="B31" s="4" t="s">
        <v>119</v>
      </c>
      <c r="C31" s="5" t="s">
        <v>128</v>
      </c>
      <c r="D31" s="4" t="s">
        <v>129</v>
      </c>
      <c r="E31" s="4">
        <v>12.0</v>
      </c>
      <c r="F31" s="6" t="str">
        <f>IFERROR(__xludf.DUMMYFUNCTION("AI(""genera palabras clave a partir de la descripción proporcionanda teniendo en cuenta que está relacionada con metas de objetivos de desarrollo sostenible"",D31)"),"2030, desperdicio de alimentos, pérdidas de alimentos, per cápita, venta al por menor, consumidores, cadenas de producción y suministro, pérdidas posteriores a la cosecha, ODS 12.3.")</f>
        <v>2030, desperdicio de alimentos, pérdidas de alimentos, per cápita, venta al por menor, consumidores, cadenas de producción y suministro, pérdidas posteriores a la cosecha, ODS 12.3.</v>
      </c>
      <c r="G31" s="7" t="s">
        <v>130</v>
      </c>
    </row>
    <row r="32" ht="15.75" customHeight="1">
      <c r="A32" s="4" t="s">
        <v>131</v>
      </c>
      <c r="B32" s="4" t="s">
        <v>119</v>
      </c>
      <c r="C32" s="5" t="s">
        <v>132</v>
      </c>
      <c r="D32" s="4" t="s">
        <v>133</v>
      </c>
      <c r="E32" s="4">
        <v>12.0</v>
      </c>
      <c r="F32" s="6" t="str">
        <f>IFERROR(__xludf.DUMMYFUNCTION("AI(""genera palabras clave a partir de la descripción proporcionanda teniendo en cuenta que está relacionada con metas de objetivos de desarrollo sostenible"",D32)"),"Gestión ecológicamente racional, productos químicos, desechos, ciclo de vida, marcos internacionales, atmósfera, agua, suelo, salud humana, medio ambiente, ODS 12.4.")</f>
        <v>Gestión ecológicamente racional, productos químicos, desechos, ciclo de vida, marcos internacionales, atmósfera, agua, suelo, salud humana, medio ambiente, ODS 12.4.</v>
      </c>
      <c r="G32" s="7" t="s">
        <v>134</v>
      </c>
    </row>
    <row r="33" ht="15.75" customHeight="1">
      <c r="A33" s="4" t="s">
        <v>135</v>
      </c>
      <c r="B33" s="4" t="s">
        <v>119</v>
      </c>
      <c r="C33" s="5" t="s">
        <v>136</v>
      </c>
      <c r="D33" s="4" t="s">
        <v>137</v>
      </c>
      <c r="E33" s="4">
        <v>12.0</v>
      </c>
      <c r="F33" s="6" t="str">
        <f>IFERROR(__xludf.DUMMYFUNCTION("AI(""genera palabras clave a partir de la descripción proporcionanda teniendo en cuenta que está relacionada con metas de objetivos de desarrollo sostenible"",D33)"),"ODS 12.5, desechos, prevención, reducción, reciclado, reutilización, 2030, desarrollo sostenible.")</f>
        <v>ODS 12.5, desechos, prevención, reducción, reciclado, reutilización, 2030, desarrollo sostenible.</v>
      </c>
      <c r="G33" s="7" t="s">
        <v>138</v>
      </c>
    </row>
    <row r="34" ht="15.75" customHeight="1">
      <c r="A34" s="4" t="s">
        <v>139</v>
      </c>
      <c r="B34" s="4" t="s">
        <v>119</v>
      </c>
      <c r="C34" s="5" t="s">
        <v>140</v>
      </c>
      <c r="D34" s="4" t="s">
        <v>141</v>
      </c>
      <c r="E34" s="4">
        <v>12.0</v>
      </c>
      <c r="F34" s="6" t="str">
        <f>IFERROR(__xludf.DUMMYFUNCTION("AI(""genera palabras clave a partir de la descripción proporcionanda teniendo en cuenta que está relacionada con metas de objetivos de desarrollo sostenible"",D34)"),"Empresas, prácticas sostenibles, grandes empresas, empresas transnacionales, informes de sostenibilidad, ciclo de presentación de informes, Objetivos de Desarrollo Sostenible (ODS).")</f>
        <v>Empresas, prácticas sostenibles, grandes empresas, empresas transnacionales, informes de sostenibilidad, ciclo de presentación de informes, Objetivos de Desarrollo Sostenible (ODS).</v>
      </c>
      <c r="G34" s="7" t="s">
        <v>142</v>
      </c>
    </row>
    <row r="35" ht="15.75" customHeight="1">
      <c r="A35" s="4" t="s">
        <v>143</v>
      </c>
      <c r="B35" s="4" t="s">
        <v>119</v>
      </c>
      <c r="C35" s="5" t="s">
        <v>144</v>
      </c>
      <c r="D35" s="4" t="s">
        <v>145</v>
      </c>
      <c r="E35" s="4">
        <v>12.0</v>
      </c>
      <c r="F35" s="6" t="str">
        <f>IFERROR(__xludf.DUMMYFUNCTION("AI(""genera palabras clave a partir de la descripción proporcionanda teniendo en cuenta que está relacionada con metas de objetivos de desarrollo sostenible"",D35)"),"Adquisición pública, sostenible, políticas nacionales, prioridades nacionales, Objetivo de Desarrollo Sostenible (ODS)")</f>
        <v>Adquisición pública, sostenible, políticas nacionales, prioridades nacionales, Objetivo de Desarrollo Sostenible (ODS)</v>
      </c>
      <c r="G35" s="7" t="s">
        <v>146</v>
      </c>
    </row>
    <row r="36" ht="15.75" customHeight="1">
      <c r="A36" s="4" t="s">
        <v>147</v>
      </c>
      <c r="B36" s="4" t="s">
        <v>119</v>
      </c>
      <c r="C36" s="5" t="s">
        <v>148</v>
      </c>
      <c r="D36" s="4" t="s">
        <v>149</v>
      </c>
      <c r="E36" s="4">
        <v>12.0</v>
      </c>
      <c r="F36" s="6" t="str">
        <f>IFERROR(__xludf.DUMMYFUNCTION("AI(""genera palabras clave a partir de la descripción proporcionanda teniendo en cuenta que está relacionada con metas de objetivos de desarrollo sostenible"",D36)"),"2030, información, conocimientos, desarrollo sostenible, estilos de vida, armonía con la naturaleza, metas ODS, educación.")</f>
        <v>2030, información, conocimientos, desarrollo sostenible, estilos de vida, armonía con la naturaleza, metas ODS, educación.</v>
      </c>
      <c r="G36" s="7" t="s">
        <v>150</v>
      </c>
    </row>
    <row r="37" ht="15.75" customHeight="1">
      <c r="A37" s="4" t="s">
        <v>151</v>
      </c>
      <c r="B37" s="4" t="s">
        <v>119</v>
      </c>
      <c r="C37" s="5" t="s">
        <v>152</v>
      </c>
      <c r="D37" s="4" t="s">
        <v>153</v>
      </c>
      <c r="E37" s="4">
        <v>12.0</v>
      </c>
      <c r="F37" s="6" t="str">
        <f>IFERROR(__xludf.DUMMYFUNCTION("AI(""genera palabras clave a partir de la descripción proporcionanda teniendo en cuenta que está relacionada con metas de objetivos de desarrollo sostenible"",D37)"),"países en desarrollo, capacidad científica, capacidad tecnológica, consumo sostenible, producción sostenible, Objetivos de Desarrollo Sostenible (ODS)")</f>
        <v>países en desarrollo, capacidad científica, capacidad tecnológica, consumo sostenible, producción sostenible, Objetivos de Desarrollo Sostenible (ODS)</v>
      </c>
      <c r="G37" s="7" t="s">
        <v>154</v>
      </c>
    </row>
    <row r="38" ht="15.75" customHeight="1">
      <c r="A38" s="4" t="s">
        <v>155</v>
      </c>
      <c r="B38" s="4" t="s">
        <v>119</v>
      </c>
      <c r="C38" s="5" t="s">
        <v>156</v>
      </c>
      <c r="D38" s="4" t="s">
        <v>157</v>
      </c>
      <c r="E38" s="4">
        <v>12.0</v>
      </c>
      <c r="F38" s="6" t="str">
        <f>IFERROR(__xludf.DUMMYFUNCTION("AI(""genera palabras clave a partir de la descripción proporcionanda teniendo en cuenta que está relacionada con metas de objetivos de desarrollo sostenible"",D38)"),"Turismo sostenible, Desarrollo sostenible, Puestos de trabajo, Cultura, Productos locales, Instrumentos de vigilancia, Objetivos de Desarrollo Sostenible (ODS)")</f>
        <v>Turismo sostenible, Desarrollo sostenible, Puestos de trabajo, Cultura, Productos locales, Instrumentos de vigilancia, Objetivos de Desarrollo Sostenible (ODS)</v>
      </c>
      <c r="G38" s="7" t="s">
        <v>158</v>
      </c>
    </row>
    <row r="39" ht="15.75" customHeight="1">
      <c r="A39" s="4" t="s">
        <v>159</v>
      </c>
      <c r="B39" s="4" t="s">
        <v>119</v>
      </c>
      <c r="C39" s="5" t="s">
        <v>160</v>
      </c>
      <c r="D39" s="4" t="s">
        <v>161</v>
      </c>
      <c r="E39" s="4">
        <v>12.0</v>
      </c>
      <c r="F39" s="6" t="str">
        <f>IFERROR(__xludf.DUMMYFUNCTION("AI(""genera palabras clave a partir de la descripción proporcionanda teniendo en cuenta que está relacionada con metas de objetivos de desarrollo sostenible"",D39)"),"Subsidios ineficientes, combustibles fósiles, consumo antieconómico, distorsiones del mercado, sistemas tributarios, eliminación gradual, impacto ambiental, países en desarrollo, protección a los pobres, comunidades afectadas.")</f>
        <v>Subsidios ineficientes, combustibles fósiles, consumo antieconómico, distorsiones del mercado, sistemas tributarios, eliminación gradual, impacto ambiental, países en desarrollo, protección a los pobres, comunidades afectadas.</v>
      </c>
      <c r="G39" s="7" t="s">
        <v>162</v>
      </c>
    </row>
    <row r="40" ht="15.75" customHeight="1">
      <c r="A40" s="4" t="s">
        <v>163</v>
      </c>
      <c r="B40" s="8" t="s">
        <v>164</v>
      </c>
      <c r="C40" s="5" t="s">
        <v>165</v>
      </c>
      <c r="D40" s="4" t="s">
        <v>166</v>
      </c>
      <c r="E40" s="4">
        <v>13.0</v>
      </c>
      <c r="F40" s="6" t="str">
        <f>IFERROR(__xludf.DUMMYFUNCTION("AI(""genera palabras clave a partir de la descripción proporcionanda teniendo en cuenta que está relacionada con metas de objetivos de desarrollo sostenible"",D40)"),"Resiliencia, adaptación, riesgos climáticos, desastres naturales, Objetivos de Desarrollo Sostenible (ODS).")</f>
        <v>Resiliencia, adaptación, riesgos climáticos, desastres naturales, Objetivos de Desarrollo Sostenible (ODS).</v>
      </c>
      <c r="G40" s="7" t="s">
        <v>167</v>
      </c>
    </row>
    <row r="41" ht="15.75" customHeight="1">
      <c r="A41" s="4" t="s">
        <v>168</v>
      </c>
      <c r="B41" s="8" t="s">
        <v>164</v>
      </c>
      <c r="C41" s="5" t="s">
        <v>169</v>
      </c>
      <c r="D41" s="4" t="s">
        <v>170</v>
      </c>
      <c r="E41" s="4">
        <v>13.0</v>
      </c>
      <c r="F41" s="6" t="str">
        <f>IFERROR(__xludf.DUMMYFUNCTION("AI(""genera palabras clave a partir de la descripción proporcionanda teniendo en cuenta que está relacionada con metas de objetivos de desarrollo sostenible"",D41)"),"Cambio climático, políticas nacionales, estrategias, planes, ODS, gobernanza climática, desarrollo sostenible, adaptación, mitigación.")</f>
        <v>Cambio climático, políticas nacionales, estrategias, planes, ODS, gobernanza climática, desarrollo sostenible, adaptación, mitigación.</v>
      </c>
      <c r="G41" s="7" t="s">
        <v>171</v>
      </c>
    </row>
    <row r="42" ht="15.75" customHeight="1">
      <c r="A42" s="4" t="s">
        <v>172</v>
      </c>
      <c r="B42" s="8" t="s">
        <v>164</v>
      </c>
      <c r="C42" s="5" t="s">
        <v>173</v>
      </c>
      <c r="D42" s="4" t="s">
        <v>174</v>
      </c>
      <c r="E42" s="4">
        <v>13.0</v>
      </c>
      <c r="F42" s="6" t="str">
        <f>IFERROR(__xludf.DUMMYFUNCTION("AI(""genera palabras clave a partir de la descripción proporcionanda teniendo en cuenta que está relacionada con metas de objetivos de desarrollo sostenible"",D42)"),"Educación, Sensibilización, Capacidad institucional, Mitigación del cambio climático, Adaptación al cambio climático, Reducción de efectos, Alerta temprana, ODS.")</f>
        <v>Educación, Sensibilización, Capacidad institucional, Mitigación del cambio climático, Adaptación al cambio climático, Reducción de efectos, Alerta temprana, ODS.</v>
      </c>
      <c r="G42" s="7" t="s">
        <v>175</v>
      </c>
    </row>
    <row r="43" ht="15.75" customHeight="1">
      <c r="A43" s="4" t="s">
        <v>176</v>
      </c>
      <c r="B43" s="8" t="s">
        <v>164</v>
      </c>
      <c r="C43" s="5" t="s">
        <v>177</v>
      </c>
      <c r="D43" s="4" t="s">
        <v>178</v>
      </c>
      <c r="E43" s="4">
        <v>13.0</v>
      </c>
      <c r="F43" s="6" t="str">
        <f>IFERROR(__xludf.DUMMYFUNCTION("AI(""genera palabras clave a partir de la descripción proporcionanda teniendo en cuenta que está relacionada con metas de objetivos de desarrollo sostenible"",D43)"),"países desarrollados, Convención Marco de las Naciones Unidas sobre el Cambio Climático, 2020, 100.000 millones de dólares anuales, países en desarrollo, mitigación, transparencia, Fondo Verde para el Clima, capitalización")</f>
        <v>países desarrollados, Convención Marco de las Naciones Unidas sobre el Cambio Climático, 2020, 100.000 millones de dólares anuales, países en desarrollo, mitigación, transparencia, Fondo Verde para el Clima, capitalización</v>
      </c>
      <c r="G43" s="7" t="s">
        <v>179</v>
      </c>
    </row>
    <row r="44" ht="15.75" customHeight="1">
      <c r="A44" s="4" t="s">
        <v>180</v>
      </c>
      <c r="B44" s="8" t="s">
        <v>164</v>
      </c>
      <c r="C44" s="5" t="s">
        <v>181</v>
      </c>
      <c r="D44" s="4" t="s">
        <v>182</v>
      </c>
      <c r="E44" s="4">
        <v>13.0</v>
      </c>
      <c r="F44" s="6" t="str">
        <f>IFERROR(__xludf.DUMMYFUNCTION("AI(""genera palabras clave a partir de la descripción proporcionanda teniendo en cuenta que está relacionada con metas de objetivos de desarrollo sostenible"",D44)"),"Capacidad, planificación, gestión, cambio climático, países menos adelantados (PMA), pequeños Estados insulares en desarrollo (PEID), mujeres, jóvenes, comunidades locales, comunidades marginadas, ODS.")</f>
        <v>Capacidad, planificación, gestión, cambio climático, países menos adelantados (PMA), pequeños Estados insulares en desarrollo (PEID), mujeres, jóvenes, comunidades locales, comunidades marginadas, ODS.</v>
      </c>
      <c r="G44" s="7" t="s">
        <v>183</v>
      </c>
    </row>
    <row r="45" ht="15.75" customHeight="1">
      <c r="A45" s="4" t="s">
        <v>184</v>
      </c>
      <c r="B45" s="4" t="s">
        <v>185</v>
      </c>
      <c r="C45" s="5" t="s">
        <v>186</v>
      </c>
      <c r="D45" s="4" t="s">
        <v>187</v>
      </c>
      <c r="E45" s="4">
        <v>14.0</v>
      </c>
      <c r="F45" s="6" t="str">
        <f>IFERROR(__xludf.DUMMYFUNCTION("AI(""genera palabras clave a partir de la descripción proporcionanda teniendo en cuenta que está relacionada con metas de objetivos de desarrollo sostenible"",D45)"),"Contaminación marina, reducir contaminación, detritos marinos, polución por nutrientes, actividades en tierra, 2025, prevención, ODS.")</f>
        <v>Contaminación marina, reducir contaminación, detritos marinos, polución por nutrientes, actividades en tierra, 2025, prevención, ODS.</v>
      </c>
      <c r="G45" s="7" t="s">
        <v>188</v>
      </c>
    </row>
    <row r="46" ht="15.75" customHeight="1">
      <c r="A46" s="4" t="s">
        <v>189</v>
      </c>
      <c r="B46" s="4" t="s">
        <v>185</v>
      </c>
      <c r="C46" s="5" t="s">
        <v>190</v>
      </c>
      <c r="D46" s="4" t="s">
        <v>191</v>
      </c>
      <c r="E46" s="4">
        <v>14.0</v>
      </c>
      <c r="F46" s="6" t="str">
        <f>IFERROR(__xludf.DUMMYFUNCTION("AI(""genera palabras clave a partir de la descripción proporcionanda teniendo en cuenta que está relacionada con metas de objetivos de desarrollo sostenible"",D46)"),"Ecosistemas marinos, ecosistemas costeros, gestión sostenible, protección, resiliencia, restauración, salud de los océanos, productividad de los océanos, ODS 14.")</f>
        <v>Ecosistemas marinos, ecosistemas costeros, gestión sostenible, protección, resiliencia, restauración, salud de los océanos, productividad de los océanos, ODS 14.</v>
      </c>
      <c r="G46" s="7" t="s">
        <v>192</v>
      </c>
    </row>
    <row r="47" ht="15.75" customHeight="1">
      <c r="A47" s="4" t="s">
        <v>193</v>
      </c>
      <c r="B47" s="4" t="s">
        <v>185</v>
      </c>
      <c r="C47" s="5" t="s">
        <v>194</v>
      </c>
      <c r="D47" s="4" t="s">
        <v>195</v>
      </c>
      <c r="E47" s="4">
        <v>14.0</v>
      </c>
      <c r="F47" s="6" t="str">
        <f>IFERROR(__xludf.DUMMYFUNCTION("AI(""genera palabras clave a partir de la descripción proporcionanda teniendo en cuenta que está relacionada con metas de objetivos de desarrollo sostenible"",D47)"),"Acidificación de los océanos, cooperación científica, SDG, Objetivo 14, vida submarina.")</f>
        <v>Acidificación de los océanos, cooperación científica, SDG, Objetivo 14, vida submarina.</v>
      </c>
      <c r="G47" s="7" t="s">
        <v>196</v>
      </c>
    </row>
    <row r="48" ht="15.75" customHeight="1">
      <c r="A48" s="4" t="s">
        <v>197</v>
      </c>
      <c r="B48" s="4" t="s">
        <v>185</v>
      </c>
      <c r="C48" s="5" t="s">
        <v>198</v>
      </c>
      <c r="D48" s="4" t="s">
        <v>199</v>
      </c>
      <c r="E48" s="4">
        <v>14.0</v>
      </c>
      <c r="F48" s="6" t="str">
        <f>IFERROR(__xludf.DUMMYFUNCTION("AI(""genera palabras clave a partir de la descripción proporcionanda teniendo en cuenta que está relacionada con metas de objetivos de desarrollo sostenible"",D48)"),"Explotación pesquera, Pesca excesiva, Pesca ilegal, Pesca no declarada y no reglamentada, Prácticas pesqueras destructivas, Planes de gestión, Poblaciones de peces, Máximo rendimiento sostenible, Características biológicas.")</f>
        <v>Explotación pesquera, Pesca excesiva, Pesca ilegal, Pesca no declarada y no reglamentada, Prácticas pesqueras destructivas, Planes de gestión, Poblaciones de peces, Máximo rendimiento sostenible, Características biológicas.</v>
      </c>
      <c r="G48" s="7" t="s">
        <v>200</v>
      </c>
    </row>
    <row r="49" ht="15.75" customHeight="1">
      <c r="A49" s="4" t="s">
        <v>201</v>
      </c>
      <c r="B49" s="4" t="s">
        <v>185</v>
      </c>
      <c r="C49" s="5" t="s">
        <v>202</v>
      </c>
      <c r="D49" s="4" t="s">
        <v>203</v>
      </c>
      <c r="E49" s="4">
        <v>14.0</v>
      </c>
      <c r="F49" s="6" t="str">
        <f>IFERROR(__xludf.DUMMYFUNCTION("AI(""genera palabras clave a partir de la descripción proporcionanda teniendo en cuenta que está relacionada con metas de objetivos de desarrollo sostenible"",D49)"),"Conservación, zonas costeras, zonas marinas, 10%, leyes nacionales, derecho internacional, información científica, Objetivos de Desarrollo Sostenible (ODS), Meta 14.5.")</f>
        <v>Conservación, zonas costeras, zonas marinas, 10%, leyes nacionales, derecho internacional, información científica, Objetivos de Desarrollo Sostenible (ODS), Meta 14.5.</v>
      </c>
      <c r="G49" s="7" t="s">
        <v>204</v>
      </c>
    </row>
    <row r="50" ht="15.75" customHeight="1">
      <c r="A50" s="4" t="s">
        <v>205</v>
      </c>
      <c r="B50" s="4" t="s">
        <v>185</v>
      </c>
      <c r="C50" s="5" t="s">
        <v>206</v>
      </c>
      <c r="D50" s="4" t="s">
        <v>207</v>
      </c>
      <c r="E50" s="4">
        <v>14.0</v>
      </c>
      <c r="F50" s="6" t="str">
        <f>IFERROR(__xludf.DUMMYFUNCTION("AI(""genera palabras clave a partir de la descripción proporcionanda teniendo en cuenta que está relacionada con metas de objetivos de desarrollo sostenible"",D50)"),"Subvenciones a la pesca, sobrecapacidad, pesca excesiva, pesca ilegal no declarada y no reglamentada (INDNR), Organización Mundial del Comercio (OMC), trato especial y diferenciado, países en desarrollo, ODS 14.6.")</f>
        <v>Subvenciones a la pesca, sobrecapacidad, pesca excesiva, pesca ilegal no declarada y no reglamentada (INDNR), Organización Mundial del Comercio (OMC), trato especial y diferenciado, países en desarrollo, ODS 14.6.</v>
      </c>
      <c r="G50" s="7" t="s">
        <v>208</v>
      </c>
    </row>
    <row r="51" ht="15.75" customHeight="1">
      <c r="A51" s="4" t="s">
        <v>209</v>
      </c>
      <c r="B51" s="4" t="s">
        <v>185</v>
      </c>
      <c r="C51" s="5" t="s">
        <v>210</v>
      </c>
      <c r="D51" s="4" t="s">
        <v>211</v>
      </c>
      <c r="E51" s="4">
        <v>14.0</v>
      </c>
      <c r="F51" s="6" t="str">
        <f>IFERROR(__xludf.DUMMYFUNCTION("AI(""genera palabras clave a partir de la descripción proporcionanda teniendo en cuenta que está relacionada con metas de objetivos de desarrollo sostenible"",D51)"),"2030, beneficios económicos, pequeños Estados insulares en desarrollo (PEID), países menos adelantados (PMA), recursos marinos, gestión sostenible, pesca, acuicultura, turismo, Objetivos de Desarrollo Sostenible (ODS)")</f>
        <v>2030, beneficios económicos, pequeños Estados insulares en desarrollo (PEID), países menos adelantados (PMA), recursos marinos, gestión sostenible, pesca, acuicultura, turismo, Objetivos de Desarrollo Sostenible (ODS)</v>
      </c>
      <c r="G51" s="7" t="s">
        <v>212</v>
      </c>
    </row>
    <row r="52" ht="15.75" customHeight="1">
      <c r="A52" s="4" t="s">
        <v>213</v>
      </c>
      <c r="B52" s="4" t="s">
        <v>185</v>
      </c>
      <c r="C52" s="5" t="s">
        <v>214</v>
      </c>
      <c r="D52" s="4" t="s">
        <v>215</v>
      </c>
      <c r="E52" s="4">
        <v>14.0</v>
      </c>
      <c r="F52" s="6" t="str">
        <f>IFERROR(__xludf.DUMMYFUNCTION("AI(""genera palabras clave a partir de la descripción proporcionanda teniendo en cuenta que está relacionada con metas de objetivos de desarrollo sostenible"",D52)"),"Conocimientos científicos
Capacidad de investigación
Transferencia de tecnología marina
Salud de los océanos
Biodiversidad marina
Desarrollo sostenible
Países en desarrollo
Pequeños Estados Insulares en Desarrollo (PEID)
Países menos adelantados
Comisión "&amp;"Oceanográfica Intergubernamental (COI)")</f>
        <v>Conocimientos científicos
Capacidad de investigación
Transferencia de tecnología marina
Salud de los océanos
Biodiversidad marina
Desarrollo sostenible
Países en desarrollo
Pequeños Estados Insulares en Desarrollo (PEID)
Países menos adelantados
Comisión Oceanográfica Intergubernamental (COI)</v>
      </c>
      <c r="G52" s="7" t="s">
        <v>216</v>
      </c>
    </row>
    <row r="53" ht="15.75" customHeight="1">
      <c r="A53" s="4" t="s">
        <v>217</v>
      </c>
      <c r="B53" s="4" t="s">
        <v>185</v>
      </c>
      <c r="C53" s="5" t="s">
        <v>218</v>
      </c>
      <c r="D53" s="4" t="s">
        <v>219</v>
      </c>
      <c r="E53" s="4">
        <v>14.0</v>
      </c>
      <c r="F53" s="6" t="str">
        <f>IFERROR(__xludf.DUMMYFUNCTION("AI(""genera palabras clave a partir de la descripción proporcionanda teniendo en cuenta que está relacionada con metas de objetivos de desarrollo sostenible"",D53)"),"pesca artesanal, acceso a recursos marinos, acceso a mercados, desarrollo sostenible, pescadores en pequeña escala, seguridad alimentaria, reducción de la pobreza, gobernanza pesquera.")</f>
        <v>pesca artesanal, acceso a recursos marinos, acceso a mercados, desarrollo sostenible, pescadores en pequeña escala, seguridad alimentaria, reducción de la pobreza, gobernanza pesquera.</v>
      </c>
      <c r="G53" s="7" t="s">
        <v>220</v>
      </c>
    </row>
    <row r="54" ht="15.75" customHeight="1">
      <c r="A54" s="4" t="s">
        <v>221</v>
      </c>
      <c r="B54" s="4" t="s">
        <v>185</v>
      </c>
      <c r="C54" s="5" t="s">
        <v>222</v>
      </c>
      <c r="D54" s="4" t="s">
        <v>223</v>
      </c>
      <c r="E54" s="4">
        <v>14.0</v>
      </c>
      <c r="F54" s="6" t="str">
        <f>IFERROR(__xludf.DUMMYFUNCTION("AI(""genera palabras clave a partir de la descripción proporcionanda teniendo en cuenta que está relacionada con metas de objetivos de desarrollo sostenible"",D54)"),"Conservación océanos, uso sostenible, derecho internacional, Convención de las Naciones Unidas sobre el Derecho del Mar (CONVEMAR), recursos marinos, marco jurídico.")</f>
        <v>Conservación océanos, uso sostenible, derecho internacional, Convención de las Naciones Unidas sobre el Derecho del Mar (CONVEMAR), recursos marinos, marco jurídico.</v>
      </c>
      <c r="G54" s="7" t="s">
        <v>224</v>
      </c>
    </row>
    <row r="55" ht="15.75" customHeight="1">
      <c r="A55" s="4" t="s">
        <v>225</v>
      </c>
      <c r="B55" s="4" t="s">
        <v>226</v>
      </c>
      <c r="C55" s="5" t="s">
        <v>227</v>
      </c>
      <c r="D55" s="4" t="s">
        <v>228</v>
      </c>
      <c r="E55" s="4">
        <v>15.0</v>
      </c>
      <c r="F55" s="6" t="str">
        <f>IFERROR(__xludf.DUMMYFUNCTION("AI(""genera palabras clave a partir de la descripción proporcionanda teniendo en cuenta que está relacionada con metas de objetivos de desarrollo sostenible"",D55)"),"conservación, restablecimiento, uso sostenible, ecosistemas terrestres, ecosistemas interiores de agua dulce, servicios, bosques, humedales, montañas, zonas áridas, acuerdos internacionales, ODS 15")</f>
        <v>conservación, restablecimiento, uso sostenible, ecosistemas terrestres, ecosistemas interiores de agua dulce, servicios, bosques, humedales, montañas, zonas áridas, acuerdos internacionales, ODS 15</v>
      </c>
      <c r="G55" s="7" t="s">
        <v>229</v>
      </c>
    </row>
    <row r="56" ht="15.75" customHeight="1">
      <c r="A56" s="4" t="s">
        <v>230</v>
      </c>
      <c r="B56" s="4" t="s">
        <v>226</v>
      </c>
      <c r="C56" s="5" t="s">
        <v>231</v>
      </c>
      <c r="D56" s="4" t="s">
        <v>232</v>
      </c>
      <c r="E56" s="4">
        <v>15.0</v>
      </c>
      <c r="F56" s="6" t="str">
        <f>IFERROR(__xludf.DUMMYFUNCTION("AI(""genera palabras clave a partir de la descripción proporcionanda teniendo en cuenta que está relacionada con metas de objetivos de desarrollo sostenible"",D56)"),"Gestión sostenible de bosques, Deforestación, Recuperación de bosques degradados, Forestación, Reforestación, Objetivos de Desarrollo Sostenible (ODS), Bosques.")</f>
        <v>Gestión sostenible de bosques, Deforestación, Recuperación de bosques degradados, Forestación, Reforestación, Objetivos de Desarrollo Sostenible (ODS), Bosques.</v>
      </c>
      <c r="G56" s="7" t="s">
        <v>233</v>
      </c>
    </row>
    <row r="57" ht="15.75" customHeight="1">
      <c r="A57" s="4" t="s">
        <v>234</v>
      </c>
      <c r="B57" s="4" t="s">
        <v>226</v>
      </c>
      <c r="C57" s="5" t="s">
        <v>235</v>
      </c>
      <c r="D57" s="4" t="s">
        <v>236</v>
      </c>
      <c r="E57" s="4">
        <v>15.0</v>
      </c>
      <c r="F57" s="6" t="str">
        <f>IFERROR(__xludf.DUMMYFUNCTION("AI(""genera palabras clave a partir de la descripción proporcionanda teniendo en cuenta que está relacionada con metas de objetivos de desarrollo sostenible"",D57)"),"2030, desertificación, rehabilitación de tierras, suelos degradados, sequía, inundaciones, degradación de las tierras, efecto neutro, Objetivos de Desarrollo Sostenible (ODS)")</f>
        <v>2030, desertificación, rehabilitación de tierras, suelos degradados, sequía, inundaciones, degradación de las tierras, efecto neutro, Objetivos de Desarrollo Sostenible (ODS)</v>
      </c>
      <c r="G57" s="7" t="s">
        <v>237</v>
      </c>
    </row>
    <row r="58" ht="15.75" customHeight="1">
      <c r="A58" s="4" t="s">
        <v>238</v>
      </c>
      <c r="B58" s="4" t="s">
        <v>226</v>
      </c>
      <c r="C58" s="5" t="s">
        <v>239</v>
      </c>
      <c r="D58" s="4" t="s">
        <v>240</v>
      </c>
      <c r="E58" s="4">
        <v>15.0</v>
      </c>
      <c r="F58" s="6" t="str">
        <f>IFERROR(__xludf.DUMMYFUNCTION("AI(""genera palabras clave a partir de la descripción proporcionanda teniendo en cuenta que está relacionada con metas de objetivos de desarrollo sostenible"",D58)"),"2030, conservación, ecosistemas montañosos, diversidad biológica, desarrollo sostenible, beneficios esenciales.")</f>
        <v>2030, conservación, ecosistemas montañosos, diversidad biológica, desarrollo sostenible, beneficios esenciales.</v>
      </c>
      <c r="G58" s="7" t="s">
        <v>241</v>
      </c>
    </row>
    <row r="59" ht="15.75" customHeight="1">
      <c r="A59" s="4" t="s">
        <v>242</v>
      </c>
      <c r="B59" s="4" t="s">
        <v>226</v>
      </c>
      <c r="C59" s="5" t="s">
        <v>243</v>
      </c>
      <c r="D59" s="4" t="s">
        <v>244</v>
      </c>
      <c r="E59" s="4">
        <v>15.0</v>
      </c>
      <c r="F59" s="6" t="str">
        <f>IFERROR(__xludf.DUMMYFUNCTION("AI(""genera palabras clave a partir de la descripción proporcionanda teniendo en cuenta que está relacionada con metas de objetivos de desarrollo sostenible"",D59)"),"Medidas urgentes, degradación de hábitats naturales, pérdida de biodiversidad, especies amenazadas, extinción, proteger.")</f>
        <v>Medidas urgentes, degradación de hábitats naturales, pérdida de biodiversidad, especies amenazadas, extinción, proteger.</v>
      </c>
      <c r="G59" s="7" t="s">
        <v>245</v>
      </c>
    </row>
    <row r="60" ht="15.75" customHeight="1">
      <c r="A60" s="4" t="s">
        <v>246</v>
      </c>
      <c r="B60" s="4" t="s">
        <v>226</v>
      </c>
      <c r="C60" s="5" t="s">
        <v>247</v>
      </c>
      <c r="D60" s="4" t="s">
        <v>248</v>
      </c>
      <c r="E60" s="4">
        <v>15.0</v>
      </c>
      <c r="F60" s="6" t="str">
        <f>IFERROR(__xludf.DUMMYFUNCTION("AI(""genera palabras clave a partir de la descripción proporcionanda teniendo en cuenta que está relacionada con metas de objetivos de desarrollo sostenible"",D60)"),"Participación justa y equitativa, beneficios, recursos genéticos, acceso, convenido internacionalmente, ODS 15.6, biodiversidad, desarrollo sostenible.")</f>
        <v>Participación justa y equitativa, beneficios, recursos genéticos, acceso, convenido internacionalmente, ODS 15.6, biodiversidad, desarrollo sostenible.</v>
      </c>
      <c r="G60" s="7" t="s">
        <v>249</v>
      </c>
    </row>
    <row r="61" ht="15.75" customHeight="1">
      <c r="A61" s="4" t="s">
        <v>250</v>
      </c>
      <c r="B61" s="4" t="s">
        <v>226</v>
      </c>
      <c r="C61" s="5" t="s">
        <v>251</v>
      </c>
      <c r="D61" s="4" t="s">
        <v>252</v>
      </c>
      <c r="E61" s="4">
        <v>15.0</v>
      </c>
      <c r="F61" s="6" t="str">
        <f>IFERROR(__xludf.DUMMYFUNCTION("AI(""genera palabras clave a partir de la descripción proporcionanda teniendo en cuenta que está relacionada con metas de objetivos de desarrollo sostenible"",D61)"),"Caza furtiva, tráfico de especies, flora y fauna protegidas, demanda, oferta, productos ilegales, vida silvestre, ODS, conservación.")</f>
        <v>Caza furtiva, tráfico de especies, flora y fauna protegidas, demanda, oferta, productos ilegales, vida silvestre, ODS, conservación.</v>
      </c>
      <c r="G61" s="7" t="s">
        <v>253</v>
      </c>
    </row>
    <row r="62" ht="15.75" customHeight="1">
      <c r="A62" s="4" t="s">
        <v>254</v>
      </c>
      <c r="B62" s="4" t="s">
        <v>226</v>
      </c>
      <c r="C62" s="5" t="s">
        <v>255</v>
      </c>
      <c r="D62" s="4" t="s">
        <v>256</v>
      </c>
      <c r="E62" s="4">
        <v>15.0</v>
      </c>
      <c r="F62" s="6" t="str">
        <f>IFERROR(__xludf.DUMMYFUNCTION("AI(""genera palabras clave a partir de la descripción proporcionanda teniendo en cuenta que está relacionada con metas de objetivos de desarrollo sostenible"",D62)"),"Especies exóticas invasoras, prevención, reducción de efectos, ecosistemas terrestres, ecosistemas acuáticos, control, erradicación, especies prioritarias, desarrollo sostenible, metas.")</f>
        <v>Especies exóticas invasoras, prevención, reducción de efectos, ecosistemas terrestres, ecosistemas acuáticos, control, erradicación, especies prioritarias, desarrollo sostenible, metas.</v>
      </c>
      <c r="G62" s="7" t="s">
        <v>257</v>
      </c>
    </row>
    <row r="63" ht="15.75" customHeight="1">
      <c r="A63" s="4" t="s">
        <v>258</v>
      </c>
      <c r="B63" s="4" t="s">
        <v>226</v>
      </c>
      <c r="C63" s="5" t="s">
        <v>259</v>
      </c>
      <c r="D63" s="4" t="s">
        <v>260</v>
      </c>
      <c r="E63" s="4">
        <v>15.0</v>
      </c>
      <c r="F63" s="6" t="str">
        <f>IFERROR(__xludf.DUMMYFUNCTION("AI(""genera palabras clave a partir de la descripción proporcionanda teniendo en cuenta que está relacionada con metas de objetivos de desarrollo sostenible"",D63)"),"Ecosistemas, biodiversidad, planificación, desarrollo, reducción de la pobreza, contabilidad nacional, contabilidad local, metas de desarrollo sostenible.")</f>
        <v>Ecosistemas, biodiversidad, planificación, desarrollo, reducción de la pobreza, contabilidad nacional, contabilidad local, metas de desarrollo sostenible.</v>
      </c>
      <c r="G63" s="7" t="s">
        <v>261</v>
      </c>
    </row>
    <row r="64" ht="15.75" customHeight="1">
      <c r="A64" s="4" t="s">
        <v>262</v>
      </c>
      <c r="B64" s="4" t="s">
        <v>226</v>
      </c>
      <c r="C64" s="5" t="s">
        <v>263</v>
      </c>
      <c r="D64" s="4" t="s">
        <v>264</v>
      </c>
      <c r="E64" s="4">
        <v>15.0</v>
      </c>
      <c r="F64" s="6" t="str">
        <f>IFERROR(__xludf.DUMMYFUNCTION("AI(""genera palabras clave a partir de la descripción proporcionanda teniendo en cuenta que está relacionada con metas de objetivos de desarrollo sostenible"",D64)"),"recursos financieros, conservación, uso sostenible, biodiversidad, ecosistemas, ODS, meta de desarrollo sostenible, movilizar recursos.")</f>
        <v>recursos financieros, conservación, uso sostenible, biodiversidad, ecosistemas, ODS, meta de desarrollo sostenible, movilizar recursos.</v>
      </c>
      <c r="G64" s="7" t="s">
        <v>265</v>
      </c>
    </row>
    <row r="65" ht="15.75" customHeight="1">
      <c r="A65" s="4" t="s">
        <v>266</v>
      </c>
      <c r="B65" s="4" t="s">
        <v>226</v>
      </c>
      <c r="C65" s="5" t="s">
        <v>267</v>
      </c>
      <c r="D65" s="4" t="s">
        <v>268</v>
      </c>
      <c r="E65" s="4">
        <v>15.0</v>
      </c>
      <c r="F65" s="6" t="str">
        <f>IFERROR(__xludf.DUMMYFUNCTION("AI(""genera palabras clave a partir de la descripción proporcionanda teniendo en cuenta que está relacionada con metas de objetivos de desarrollo sostenible"",D65)"),"recursos, financiación, gestión forestal sostenible, incentivos, países en desarrollo, conservación, reforestación, ODS 15.B")</f>
        <v>recursos, financiación, gestión forestal sostenible, incentivos, países en desarrollo, conservación, reforestación, ODS 15.B</v>
      </c>
      <c r="G65" s="7" t="s">
        <v>269</v>
      </c>
    </row>
    <row r="66" ht="15.75" customHeight="1">
      <c r="A66" s="4" t="s">
        <v>270</v>
      </c>
      <c r="B66" s="4" t="s">
        <v>226</v>
      </c>
      <c r="C66" s="5" t="s">
        <v>271</v>
      </c>
      <c r="D66" s="4" t="s">
        <v>272</v>
      </c>
      <c r="E66" s="4">
        <v>15.0</v>
      </c>
      <c r="F66" s="6" t="str">
        <f>IFERROR(__xludf.DUMMYFUNCTION("AI(""genera palabras clave a partir de la descripción proporcionanda teniendo en cuenta que está relacionada con metas de objetivos de desarrollo sostenible"",D66)"),"Caza furtiva, tráfico de especies, especies protegidas, subsistencia sostenibles, comunidades locales, apoyo mundial, ODS.")</f>
        <v>Caza furtiva, tráfico de especies, especies protegidas, subsistencia sostenibles, comunidades locales, apoyo mundial, ODS.</v>
      </c>
      <c r="G66" s="7" t="s">
        <v>273</v>
      </c>
    </row>
    <row r="67" ht="15.75" customHeight="1">
      <c r="A67" s="4" t="s">
        <v>274</v>
      </c>
      <c r="B67" s="4" t="s">
        <v>275</v>
      </c>
      <c r="C67" s="5" t="s">
        <v>276</v>
      </c>
      <c r="D67" s="4" t="s">
        <v>277</v>
      </c>
      <c r="E67" s="4">
        <v>16.0</v>
      </c>
      <c r="F67" s="6" t="str">
        <f>IFERROR(__xludf.DUMMYFUNCTION("AI(""genera palabras clave a partir de la descripción proporcionanda teniendo en cuenta que está relacionada con metas de objetivos de desarrollo sostenible"",D67)"),"Violencia
Mortalidad
Reducción
Paz
Justicia
ODS 16")</f>
        <v>Violencia
Mortalidad
Reducción
Paz
Justicia
ODS 16</v>
      </c>
      <c r="G67" s="7" t="s">
        <v>278</v>
      </c>
    </row>
    <row r="68" ht="15.75" customHeight="1">
      <c r="A68" s="4" t="s">
        <v>279</v>
      </c>
      <c r="B68" s="4" t="s">
        <v>275</v>
      </c>
      <c r="C68" s="5" t="s">
        <v>280</v>
      </c>
      <c r="D68" s="4" t="s">
        <v>281</v>
      </c>
      <c r="E68" s="4">
        <v>16.0</v>
      </c>
      <c r="F68" s="6" t="str">
        <f>IFERROR(__xludf.DUMMYFUNCTION("AI(""genera palabras clave a partir de la descripción proporcionanda teniendo en cuenta que está relacionada con metas de objetivos de desarrollo sostenible"",D68)"),"Acceso a la información, Libertades fundamentales, Leyes nacionales, Acuerdos internacionales, ODS 16.10, Paz, Justicia, Instituciones sólidas.")</f>
        <v>Acceso a la información, Libertades fundamentales, Leyes nacionales, Acuerdos internacionales, ODS 16.10, Paz, Justicia, Instituciones sólidas.</v>
      </c>
      <c r="G68" s="7" t="s">
        <v>282</v>
      </c>
    </row>
    <row r="69" ht="15.75" customHeight="1">
      <c r="A69" s="4" t="s">
        <v>283</v>
      </c>
      <c r="B69" s="4" t="s">
        <v>275</v>
      </c>
      <c r="C69" s="5" t="s">
        <v>284</v>
      </c>
      <c r="D69" s="4" t="s">
        <v>285</v>
      </c>
      <c r="E69" s="4">
        <v>16.0</v>
      </c>
      <c r="F69" s="6" t="str">
        <f>IFERROR(__xludf.DUMMYFUNCTION("AI(""genera palabras clave a partir de la descripción proporcionanda teniendo en cuenta que está relacionada con metas de objetivos de desarrollo sostenible"",D69)"),"Maltrato infantil, Explotación infantil, Trata de niños, Violencia contra los niños, Tortura, Objetivos de Desarrollo Sostenible (ODS)")</f>
        <v>Maltrato infantil, Explotación infantil, Trata de niños, Violencia contra los niños, Tortura, Objetivos de Desarrollo Sostenible (ODS)</v>
      </c>
      <c r="G69" s="7" t="s">
        <v>286</v>
      </c>
    </row>
    <row r="70" ht="15.75" customHeight="1">
      <c r="A70" s="4" t="s">
        <v>287</v>
      </c>
      <c r="B70" s="4" t="s">
        <v>275</v>
      </c>
      <c r="C70" s="5" t="s">
        <v>288</v>
      </c>
      <c r="D70" s="4" t="s">
        <v>289</v>
      </c>
      <c r="E70" s="4">
        <v>16.0</v>
      </c>
      <c r="F70" s="6" t="str">
        <f>IFERROR(__xludf.DUMMYFUNCTION("AI(""genera palabras clave a partir de la descripción proporcionanda teniendo en cuenta que está relacionada con metas de objetivos de desarrollo sostenible"",D70)"),"Estado de derecho, justicia, igualdad de acceso, planos nacional e internacional, Objetivos de Desarrollo Sostenible (ODS)")</f>
        <v>Estado de derecho, justicia, igualdad de acceso, planos nacional e internacional, Objetivos de Desarrollo Sostenible (ODS)</v>
      </c>
      <c r="G70" s="7" t="s">
        <v>290</v>
      </c>
    </row>
    <row r="71" ht="15.75" customHeight="1">
      <c r="A71" s="4" t="s">
        <v>291</v>
      </c>
      <c r="B71" s="4" t="s">
        <v>275</v>
      </c>
      <c r="C71" s="5" t="s">
        <v>292</v>
      </c>
      <c r="D71" s="4" t="s">
        <v>293</v>
      </c>
      <c r="E71" s="4">
        <v>16.0</v>
      </c>
      <c r="F71" s="6" t="str">
        <f>IFERROR(__xludf.DUMMYFUNCTION("AI(""genera palabras clave a partir de la descripción proporcionanda teniendo en cuenta que está relacionada con metas de objetivos de desarrollo sostenible"",D71)"),"Corrientes financieras ilícitas, armas ilícitas, activos robados, recuperación de activos, devolución de activos, delincuencia organizada, ODS 16.4, 2030.")</f>
        <v>Corrientes financieras ilícitas, armas ilícitas, activos robados, recuperación de activos, devolución de activos, delincuencia organizada, ODS 16.4, 2030.</v>
      </c>
      <c r="G71" s="7" t="s">
        <v>294</v>
      </c>
    </row>
    <row r="72" ht="15.75" customHeight="1">
      <c r="A72" s="4" t="s">
        <v>295</v>
      </c>
      <c r="B72" s="4" t="s">
        <v>275</v>
      </c>
      <c r="C72" s="5" t="s">
        <v>296</v>
      </c>
      <c r="D72" s="4" t="s">
        <v>297</v>
      </c>
      <c r="E72" s="4">
        <v>16.0</v>
      </c>
      <c r="F72" s="6" t="str">
        <f>IFERROR(__xludf.DUMMYFUNCTION("AI(""genera palabras clave a partir de la descripción proporcionanda teniendo en cuenta que está relacionada con metas de objetivos de desarrollo sostenible"",D72)"),"corrupción, soborno, reducción, ODS, gobernanza, transparencia")</f>
        <v>corrupción, soborno, reducción, ODS, gobernanza, transparencia</v>
      </c>
      <c r="G72" s="7" t="s">
        <v>298</v>
      </c>
    </row>
    <row r="73" ht="15.75" customHeight="1">
      <c r="A73" s="4" t="s">
        <v>299</v>
      </c>
      <c r="B73" s="4" t="s">
        <v>275</v>
      </c>
      <c r="C73" s="5" t="s">
        <v>300</v>
      </c>
      <c r="D73" s="4" t="s">
        <v>301</v>
      </c>
      <c r="E73" s="4">
        <v>16.0</v>
      </c>
      <c r="F73" s="6" t="str">
        <f>IFERROR(__xludf.DUMMYFUNCTION("AI(""genera palabras clave a partir de la descripción proporcionanda teniendo en cuenta que está relacionada con metas de objetivos de desarrollo sostenible"",D73)"),"Objetivos de Desarrollo Sostenible (ODS), ODS 16, Meta 16.6, instituciones eficaces, instituciones transparentes, rendición de cuentas, gobernanza.")</f>
        <v>Objetivos de Desarrollo Sostenible (ODS), ODS 16, Meta 16.6, instituciones eficaces, instituciones transparentes, rendición de cuentas, gobernanza.</v>
      </c>
      <c r="G73" s="7" t="s">
        <v>302</v>
      </c>
    </row>
    <row r="74" ht="15.75" customHeight="1">
      <c r="A74" s="4" t="s">
        <v>303</v>
      </c>
      <c r="B74" s="4" t="s">
        <v>275</v>
      </c>
      <c r="C74" s="5" t="s">
        <v>304</v>
      </c>
      <c r="D74" s="4" t="s">
        <v>305</v>
      </c>
      <c r="E74" s="4">
        <v>16.0</v>
      </c>
      <c r="F74" s="6" t="str">
        <f>IFERROR(__xludf.DUMMYFUNCTION("AI(""genera palabras clave a partir de la descripción proporcionanda teniendo en cuenta que está relacionada con metas de objetivos de desarrollo sostenible"",D74)"),"Decisiones inclusivas, Participativas, Representativas, Adopción de decisiones, ODS, Objetivo 16.7.")</f>
        <v>Decisiones inclusivas, Participativas, Representativas, Adopción de decisiones, ODS, Objetivo 16.7.</v>
      </c>
      <c r="G74" s="7" t="s">
        <v>306</v>
      </c>
    </row>
    <row r="75" ht="15.75" customHeight="1">
      <c r="A75" s="4" t="s">
        <v>307</v>
      </c>
      <c r="B75" s="4" t="s">
        <v>275</v>
      </c>
      <c r="C75" s="5" t="s">
        <v>308</v>
      </c>
      <c r="D75" s="4" t="s">
        <v>309</v>
      </c>
      <c r="E75" s="4">
        <v>16.0</v>
      </c>
      <c r="F75" s="6" t="str">
        <f>IFERROR(__xludf.DUMMYFUNCTION("AI(""genera palabras clave a partir de la descripción proporcionanda teniendo en cuenta que está relacionada con metas de objetivos de desarrollo sostenible"",D75)"),"Países en desarrollo, participación, instituciones, gobernanza mundial, reducir desigualdades, Objetivo 10, desarrollo sostenible.")</f>
        <v>Países en desarrollo, participación, instituciones, gobernanza mundial, reducir desigualdades, Objetivo 10, desarrollo sostenible.</v>
      </c>
      <c r="G75" s="7" t="s">
        <v>310</v>
      </c>
    </row>
    <row r="76" ht="15.75" customHeight="1">
      <c r="A76" s="4" t="s">
        <v>311</v>
      </c>
      <c r="B76" s="4" t="s">
        <v>275</v>
      </c>
      <c r="C76" s="5" t="s">
        <v>312</v>
      </c>
      <c r="D76" s="4" t="s">
        <v>313</v>
      </c>
      <c r="E76" s="4">
        <v>16.0</v>
      </c>
      <c r="F76" s="6" t="str">
        <f>IFERROR(__xludf.DUMMYFUNCTION("AI(""genera palabras clave a partir de la descripción proporcionanda teniendo en cuenta que está relacionada con metas de objetivos de desarrollo sostenible"",D76)"),"Identidad jurídica, registro de nacimientos, ODS, Meta 16.9, 2030.")</f>
        <v>Identidad jurídica, registro de nacimientos, ODS, Meta 16.9, 2030.</v>
      </c>
      <c r="G76" s="7" t="s">
        <v>314</v>
      </c>
    </row>
    <row r="77" ht="15.75" customHeight="1">
      <c r="A77" s="4" t="s">
        <v>315</v>
      </c>
      <c r="B77" s="4" t="s">
        <v>275</v>
      </c>
      <c r="C77" s="5" t="s">
        <v>316</v>
      </c>
      <c r="D77" s="4" t="s">
        <v>317</v>
      </c>
      <c r="E77" s="4">
        <v>16.0</v>
      </c>
      <c r="F77" s="6" t="str">
        <f>IFERROR(__xludf.DUMMYFUNCTION("AI(""genera palabras clave a partir de la descripción proporcionanda teniendo en cuenta que está relacionada con metas de objetivos de desarrollo sostenible"",D77)"),"Fortalecer instituciones, cooperación internacional, países en desarrollo, prevenir violencia, combatir terrorismo, combatir delincuencia, ODS 16, capacidad.")</f>
        <v>Fortalecer instituciones, cooperación internacional, países en desarrollo, prevenir violencia, combatir terrorismo, combatir delincuencia, ODS 16, capacidad.</v>
      </c>
      <c r="G77" s="7" t="s">
        <v>318</v>
      </c>
    </row>
    <row r="78" ht="15.75" customHeight="1">
      <c r="A78" s="4" t="s">
        <v>319</v>
      </c>
      <c r="B78" s="4" t="s">
        <v>275</v>
      </c>
      <c r="C78" s="5" t="s">
        <v>320</v>
      </c>
      <c r="D78" s="4" t="s">
        <v>321</v>
      </c>
      <c r="E78" s="4">
        <v>16.0</v>
      </c>
      <c r="F78" s="6" t="str">
        <f>IFERROR(__xludf.DUMMYFUNCTION("AI(""genera palabras clave a partir de la descripción proporcionanda teniendo en cuenta que está relacionada con metas de objetivos de desarrollo sostenible"",D78)"),"Leyes, políticas, no discriminatorias, desarrollo sostenible, ODS, Objetivo 16.B.")</f>
        <v>Leyes, políticas, no discriminatorias, desarrollo sostenible, ODS, Objetivo 16.B.</v>
      </c>
      <c r="G78" s="7" t="s">
        <v>322</v>
      </c>
    </row>
    <row r="79" ht="15.75" customHeight="1">
      <c r="A79" s="4" t="s">
        <v>323</v>
      </c>
      <c r="B79" s="4" t="s">
        <v>324</v>
      </c>
      <c r="C79" s="5" t="s">
        <v>325</v>
      </c>
      <c r="D79" s="4" t="s">
        <v>326</v>
      </c>
      <c r="E79" s="4">
        <v>17.0</v>
      </c>
      <c r="F79" s="6" t="str">
        <f>IFERROR(__xludf.DUMMYFUNCTION("AI(""genera palabras clave a partir de la descripción proporcionanda teniendo en cuenta que está relacionada con metas de objetivos de desarrollo sostenible"",D79)"),"movilización de recursos internos, apoyo internacional, países en desarrollo, ingresos fiscales, recaudar ingresos, capacidad nacional, Objetivos de Desarrollo Sostenible (ODS), financiación para el desarrollo.")</f>
        <v>movilización de recursos internos, apoyo internacional, países en desarrollo, ingresos fiscales, recaudar ingresos, capacidad nacional, Objetivos de Desarrollo Sostenible (ODS), financiación para el desarrollo.</v>
      </c>
      <c r="G79" s="7" t="s">
        <v>327</v>
      </c>
    </row>
    <row r="80" ht="15.75" customHeight="1">
      <c r="A80" s="4" t="s">
        <v>328</v>
      </c>
      <c r="B80" s="4" t="s">
        <v>324</v>
      </c>
      <c r="C80" s="5" t="s">
        <v>329</v>
      </c>
      <c r="D80" s="4" t="s">
        <v>330</v>
      </c>
      <c r="E80" s="4">
        <v>17.0</v>
      </c>
      <c r="F80" s="6" t="str">
        <f>IFERROR(__xludf.DUMMYFUNCTION("AI(""genera palabras clave a partir de la descripción proporcionanda teniendo en cuenta que está relacionada con metas de objetivos de desarrollo sostenible"",D80)"),"Comercio multilateral; sistema de comercio universal; OMC; Organización Mundial del Comercio; Programa de Doha para el Desarrollo; no discriminatorio; equitativo; alianzas; ODS 17.")</f>
        <v>Comercio multilateral; sistema de comercio universal; OMC; Organización Mundial del Comercio; Programa de Doha para el Desarrollo; no discriminatorio; equitativo; alianzas; ODS 17.</v>
      </c>
      <c r="G80" s="7" t="s">
        <v>331</v>
      </c>
    </row>
    <row r="81" ht="15.75" customHeight="1">
      <c r="A81" s="4" t="s">
        <v>332</v>
      </c>
      <c r="B81" s="4" t="s">
        <v>324</v>
      </c>
      <c r="C81" s="5" t="s">
        <v>333</v>
      </c>
      <c r="D81" s="4" t="s">
        <v>334</v>
      </c>
      <c r="E81" s="4">
        <v>17.0</v>
      </c>
      <c r="F81" s="6" t="str">
        <f>IFERROR(__xludf.DUMMYFUNCTION("AI(""genera palabras clave a partir de la descripción proporcionanda teniendo en cuenta que está relacionada con metas de objetivos de desarrollo sostenible"",D81)"),"Exportaciones, países en desarrollo, países menos adelantados, comercio mundial, metas de desarrollo sostenible.")</f>
        <v>Exportaciones, países en desarrollo, países menos adelantados, comercio mundial, metas de desarrollo sostenible.</v>
      </c>
      <c r="G81" s="7" t="s">
        <v>335</v>
      </c>
    </row>
    <row r="82" ht="15.75" customHeight="1">
      <c r="A82" s="4" t="s">
        <v>336</v>
      </c>
      <c r="B82" s="4" t="s">
        <v>324</v>
      </c>
      <c r="C82" s="5" t="s">
        <v>337</v>
      </c>
      <c r="D82" s="4" t="s">
        <v>338</v>
      </c>
      <c r="E82" s="4">
        <v>17.0</v>
      </c>
      <c r="F82" s="6" t="str">
        <f>IFERROR(__xludf.DUMMYFUNCTION("AI(""genera palabras clave a partir de la descripción proporcionanda teniendo en cuenta que está relacionada con metas de objetivos de desarrollo sostenible"",D82)"),"Países menos adelantados, Acceso a mercados, Libre de derechos y contingentes, Organización Mundial del Comercio (OMC), Normas de origen preferenciales, Acceso a los mercados.")</f>
        <v>Países menos adelantados, Acceso a mercados, Libre de derechos y contingentes, Organización Mundial del Comercio (OMC), Normas de origen preferenciales, Acceso a los mercados.</v>
      </c>
      <c r="G82" s="7" t="s">
        <v>339</v>
      </c>
    </row>
    <row r="83" ht="15.75" customHeight="1">
      <c r="A83" s="4" t="s">
        <v>340</v>
      </c>
      <c r="B83" s="4" t="s">
        <v>324</v>
      </c>
      <c r="C83" s="5" t="s">
        <v>341</v>
      </c>
      <c r="D83" s="4" t="s">
        <v>342</v>
      </c>
      <c r="E83" s="4">
        <v>17.0</v>
      </c>
      <c r="F83" s="6" t="str">
        <f>IFERROR(__xludf.DUMMYFUNCTION("AI(""genera palabras clave a partir de la descripción proporcionanda teniendo en cuenta que está relacionada con metas de objetivos de desarrollo sostenible"",D83)"),"Estabilidad macroeconómica mundial, coordinación de políticas, coherencia de políticas, Objetivos de Desarrollo Sostenible (ODS), política económica.")</f>
        <v>Estabilidad macroeconómica mundial, coordinación de políticas, coherencia de políticas, Objetivos de Desarrollo Sostenible (ODS), política económica.</v>
      </c>
      <c r="G83" s="7" t="s">
        <v>343</v>
      </c>
    </row>
    <row r="84" ht="15.75" customHeight="1">
      <c r="A84" s="4" t="s">
        <v>344</v>
      </c>
      <c r="B84" s="4" t="s">
        <v>324</v>
      </c>
      <c r="C84" s="5" t="s">
        <v>345</v>
      </c>
      <c r="D84" s="4" t="s">
        <v>346</v>
      </c>
      <c r="E84" s="4">
        <v>17.0</v>
      </c>
      <c r="F84" s="6" t="str">
        <f>IFERROR(__xludf.DUMMYFUNCTION("AI(""genera palabras clave a partir de la descripción proporcionanda teniendo en cuenta que está relacionada con metas de objetivos de desarrollo sostenible"",D84)"),"Coherencia de políticas, desarrollo sostenible, políticas públicas, ODS, Alianza Mundial.")</f>
        <v>Coherencia de políticas, desarrollo sostenible, políticas públicas, ODS, Alianza Mundial.</v>
      </c>
      <c r="G84" s="7" t="s">
        <v>347</v>
      </c>
    </row>
    <row r="85" ht="15.75" customHeight="1">
      <c r="A85" s="4" t="s">
        <v>348</v>
      </c>
      <c r="B85" s="4" t="s">
        <v>324</v>
      </c>
      <c r="C85" s="5" t="s">
        <v>349</v>
      </c>
      <c r="D85" s="4" t="s">
        <v>350</v>
      </c>
      <c r="E85" s="4">
        <v>17.0</v>
      </c>
      <c r="F85" s="6" t="str">
        <f>IFERROR(__xludf.DUMMYFUNCTION("AI(""genera palabras clave a partir de la descripción proporcionanda teniendo en cuenta que está relacionada con metas de objetivos de desarrollo sostenible"",D85)"),"Margen normativo, liderazgo, políticas, erradicación de la pobreza, desarrollo sostenible, país.")</f>
        <v>Margen normativo, liderazgo, políticas, erradicación de la pobreza, desarrollo sostenible, país.</v>
      </c>
      <c r="G85" s="7" t="s">
        <v>351</v>
      </c>
    </row>
    <row r="86" ht="15.75" customHeight="1">
      <c r="A86" s="4" t="s">
        <v>352</v>
      </c>
      <c r="B86" s="4" t="s">
        <v>324</v>
      </c>
      <c r="C86" s="5" t="s">
        <v>353</v>
      </c>
      <c r="D86" s="4" t="s">
        <v>354</v>
      </c>
      <c r="E86" s="4">
        <v>17.0</v>
      </c>
      <c r="F86" s="6" t="str">
        <f>IFERROR(__xludf.DUMMYFUNCTION("AI(""genera palabras clave a partir de la descripción proporcionanda teniendo en cuenta que está relacionada con metas de objetivos de desarrollo sostenible"",D86)"),"Alianza Mundial, Desarrollo Sostenible, alianzas múltiples interesados, conocimientos, especialización, tecnología, recursos financieros, Objetivos de Desarrollo Sostenible, países en desarrollo.")</f>
        <v>Alianza Mundial, Desarrollo Sostenible, alianzas múltiples interesados, conocimientos, especialización, tecnología, recursos financieros, Objetivos de Desarrollo Sostenible, países en desarrollo.</v>
      </c>
      <c r="G86" s="7" t="s">
        <v>355</v>
      </c>
    </row>
    <row r="87" ht="15.75" customHeight="1">
      <c r="A87" s="4" t="s">
        <v>356</v>
      </c>
      <c r="B87" s="4" t="s">
        <v>324</v>
      </c>
      <c r="C87" s="5" t="s">
        <v>357</v>
      </c>
      <c r="D87" s="4" t="s">
        <v>358</v>
      </c>
      <c r="E87" s="4">
        <v>17.0</v>
      </c>
      <c r="F87" s="6" t="str">
        <f>IFERROR(__xludf.DUMMYFUNCTION("AI(""genera palabras clave a partir de la descripción proporcionanda teniendo en cuenta que está relacionada con metas de objetivos de desarrollo sostenible"",D87)"),"Alianzas, Alianzas eficaces, Público-privada, Sociedad civil, Obtención de recursos, ODS 17.")</f>
        <v>Alianzas, Alianzas eficaces, Público-privada, Sociedad civil, Obtención de recursos, ODS 17.</v>
      </c>
      <c r="G87" s="7" t="s">
        <v>359</v>
      </c>
    </row>
    <row r="88" ht="15.75" customHeight="1">
      <c r="A88" s="4" t="s">
        <v>360</v>
      </c>
      <c r="B88" s="4" t="s">
        <v>324</v>
      </c>
      <c r="C88" s="5" t="s">
        <v>361</v>
      </c>
      <c r="D88" s="4" t="s">
        <v>362</v>
      </c>
      <c r="E88" s="4">
        <v>17.0</v>
      </c>
      <c r="F88" s="6" t="str">
        <f>IFERROR(__xludf.DUMMYFUNCTION("AI(""genera palabras clave a partir de la descripción proporcionanda teniendo en cuenta que está relacionada con metas de objetivos de desarrollo sostenible"",D88)"),"Objetivos de Desarrollo Sostenible, ODS, meta 2020, capacidad, países en desarrollo, países menos adelantados, pequeños Estados insulares en desarrollo, disponibilidad de datos, datos desglosados, datos de calidad, apoyo.")</f>
        <v>Objetivos de Desarrollo Sostenible, ODS, meta 2020, capacidad, países en desarrollo, países menos adelantados, pequeños Estados insulares en desarrollo, disponibilidad de datos, datos desglosados, datos de calidad, apoyo.</v>
      </c>
      <c r="G88" s="7" t="s">
        <v>363</v>
      </c>
    </row>
    <row r="89" ht="15.75" customHeight="1">
      <c r="A89" s="4" t="s">
        <v>364</v>
      </c>
      <c r="B89" s="4" t="s">
        <v>324</v>
      </c>
      <c r="C89" s="5" t="s">
        <v>365</v>
      </c>
      <c r="D89" s="4" t="s">
        <v>366</v>
      </c>
      <c r="E89" s="4">
        <v>17.0</v>
      </c>
      <c r="F89" s="6" t="str">
        <f>IFERROR(__xludf.DUMMYFUNCTION("AI(""genera palabras clave a partir de la descripción proporcionanda teniendo en cuenta que está relacionada con metas de objetivos de desarrollo sostenible"",D89)"),"2030, iniciativas existentes, indicadores, progreso, desarrollo sostenible, producto interno bruto (PIB), capacidad estadística, países en desarrollo.")</f>
        <v>2030, iniciativas existentes, indicadores, progreso, desarrollo sostenible, producto interno bruto (PIB), capacidad estadística, países en desarrollo.</v>
      </c>
      <c r="G89" s="7" t="s">
        <v>367</v>
      </c>
    </row>
    <row r="90" ht="15.75" customHeight="1">
      <c r="A90" s="4" t="s">
        <v>368</v>
      </c>
      <c r="B90" s="4" t="s">
        <v>324</v>
      </c>
      <c r="C90" s="5" t="s">
        <v>369</v>
      </c>
      <c r="D90" s="4" t="s">
        <v>370</v>
      </c>
      <c r="E90" s="4">
        <v>17.0</v>
      </c>
      <c r="F90" s="6" t="str">
        <f>IFERROR(__xludf.DUMMYFUNCTION("AI(""genera palabras clave a partir de la descripción proporcionanda teniendo en cuenta que está relacionada con metas de objetivos de desarrollo sostenible"",D90)"),"Asistencia Oficial para el Desarrollo (AOD), 0,7% Ingreso Nacional Bruto (INB), Países Desarrollados, Países en Desarrollo, Países Menos Adelantados (PMA), Compromisos, Financiamiento para el Desarrollo, Metas de Desarrollo Sostenible.")</f>
        <v>Asistencia Oficial para el Desarrollo (AOD), 0,7% Ingreso Nacional Bruto (INB), Países Desarrollados, Países en Desarrollo, Países Menos Adelantados (PMA), Compromisos, Financiamiento para el Desarrollo, Metas de Desarrollo Sostenible.</v>
      </c>
      <c r="G90" s="7" t="s">
        <v>371</v>
      </c>
    </row>
    <row r="91" ht="15.75" customHeight="1">
      <c r="A91" s="4" t="s">
        <v>372</v>
      </c>
      <c r="B91" s="4" t="s">
        <v>324</v>
      </c>
      <c r="C91" s="5" t="s">
        <v>373</v>
      </c>
      <c r="D91" s="4" t="s">
        <v>374</v>
      </c>
      <c r="E91" s="4">
        <v>17.0</v>
      </c>
      <c r="F91" s="6" t="str">
        <f>IFERROR(__xludf.DUMMYFUNCTION("AI(""genera palabras clave a partir de la descripción proporcionanda teniendo en cuenta que está relacionada con metas de objetivos de desarrollo sostenible"",D91)"),"Movilización, recursos financieros, fuentes múltiples, países en desarrollo, ODS, financiación.")</f>
        <v>Movilización, recursos financieros, fuentes múltiples, países en desarrollo, ODS, financiación.</v>
      </c>
      <c r="G91" s="7" t="s">
        <v>375</v>
      </c>
    </row>
    <row r="92" ht="15.75" customHeight="1">
      <c r="A92" s="4" t="s">
        <v>376</v>
      </c>
      <c r="B92" s="4" t="s">
        <v>324</v>
      </c>
      <c r="C92" s="5" t="s">
        <v>377</v>
      </c>
      <c r="D92" s="4" t="s">
        <v>378</v>
      </c>
      <c r="E92" s="4">
        <v>17.0</v>
      </c>
      <c r="F92" s="6" t="str">
        <f>IFERROR(__xludf.DUMMYFUNCTION("AI(""genera palabras clave a partir de la descripción proporcionanda teniendo en cuenta que está relacionada con metas de objetivos de desarrollo sostenible"",D92)"),"Países en desarrollo, sostenibilidad de la deuda, financiación, alivio de la deuda, reestructuración de la deuda, deuda externa, países pobres muy endeudados, endeudamiento excesivo, Objetivos de Desarrollo Sostenible (ODS).")</f>
        <v>Países en desarrollo, sostenibilidad de la deuda, financiación, alivio de la deuda, reestructuración de la deuda, deuda externa, países pobres muy endeudados, endeudamiento excesivo, Objetivos de Desarrollo Sostenible (ODS).</v>
      </c>
      <c r="G92" s="7" t="s">
        <v>379</v>
      </c>
    </row>
    <row r="93" ht="15.75" customHeight="1">
      <c r="A93" s="4" t="s">
        <v>380</v>
      </c>
      <c r="B93" s="4" t="s">
        <v>324</v>
      </c>
      <c r="C93" s="5" t="s">
        <v>381</v>
      </c>
      <c r="D93" s="4" t="s">
        <v>382</v>
      </c>
      <c r="E93" s="4">
        <v>17.0</v>
      </c>
      <c r="F93" s="6" t="str">
        <f>IFERROR(__xludf.DUMMYFUNCTION("AI(""genera palabras clave a partir de la descripción proporcionanda teniendo en cuenta que está relacionada con metas de objetivos de desarrollo sostenible"",D93)"),"Inversiones, promoción de inversiones, países menos adelantados (PMA), sistemas de inversión, objetivos de desarrollo sostenible (ODS).")</f>
        <v>Inversiones, promoción de inversiones, países menos adelantados (PMA), sistemas de inversión, objetivos de desarrollo sostenible (ODS).</v>
      </c>
      <c r="G93" s="7" t="s">
        <v>383</v>
      </c>
    </row>
    <row r="94" ht="15.75" customHeight="1">
      <c r="A94" s="4" t="s">
        <v>384</v>
      </c>
      <c r="B94" s="4" t="s">
        <v>324</v>
      </c>
      <c r="C94" s="5" t="s">
        <v>385</v>
      </c>
      <c r="D94" s="4" t="s">
        <v>386</v>
      </c>
      <c r="E94" s="4">
        <v>17.0</v>
      </c>
      <c r="F94" s="6" t="str">
        <f>IFERROR(__xludf.DUMMYFUNCTION("AI(""genera palabras clave a partir de la descripción proporcionanda teniendo en cuenta que está relacionada con metas de objetivos de desarrollo sostenible"",D94)"),"Cooperación regional, Cooperación internacional, Norte-Sur, Sur-Sur, Triangular, Ciencia, Tecnología, Innovación, Acceso, Intercambio de conocimientos, Naciones Unidas, Mecanismo mundial de facilitación de la tecnología, Metas, Objetivos de Desarrollo Sos"&amp;"tenible.")</f>
        <v>Cooperación regional, Cooperación internacional, Norte-Sur, Sur-Sur, Triangular, Ciencia, Tecnología, Innovación, Acceso, Intercambio de conocimientos, Naciones Unidas, Mecanismo mundial de facilitación de la tecnología, Metas, Objetivos de Desarrollo Sostenible.</v>
      </c>
      <c r="G94" s="7" t="s">
        <v>387</v>
      </c>
    </row>
    <row r="95" ht="15.75" customHeight="1">
      <c r="A95" s="4" t="s">
        <v>388</v>
      </c>
      <c r="B95" s="4" t="s">
        <v>324</v>
      </c>
      <c r="C95" s="5" t="s">
        <v>389</v>
      </c>
      <c r="D95" s="4" t="s">
        <v>390</v>
      </c>
      <c r="E95" s="4">
        <v>17.0</v>
      </c>
      <c r="F95" s="6" t="str">
        <f>IFERROR(__xludf.DUMMYFUNCTION("AI(""genera palabras clave a partir de la descripción proporcionanda teniendo en cuenta que está relacionada con metas de objetivos de desarrollo sostenible"",D95)"),"Tecnologías ecológicamente racionales, transferencia de tecnología, países en desarrollo, condiciones favorables, condiciones concesionarias, difusión.")</f>
        <v>Tecnologías ecológicamente racionales, transferencia de tecnología, países en desarrollo, condiciones favorables, condiciones concesionarias, difusión.</v>
      </c>
      <c r="G95" s="7" t="s">
        <v>391</v>
      </c>
    </row>
    <row r="96" ht="15.75" customHeight="1">
      <c r="A96" s="4" t="s">
        <v>392</v>
      </c>
      <c r="B96" s="4" t="s">
        <v>324</v>
      </c>
      <c r="C96" s="5" t="s">
        <v>393</v>
      </c>
      <c r="D96" s="4" t="s">
        <v>394</v>
      </c>
      <c r="E96" s="4">
        <v>17.0</v>
      </c>
      <c r="F96" s="6" t="str">
        <f>IFERROR(__xludf.DUMMYFUNCTION("AI(""genera palabras clave a partir de la descripción proporcionanda teniendo en cuenta que está relacionada con metas de objetivos de desarrollo sostenible"",D96)"),"Banco de tecnología, mecanismo de apoyo, creación de capacidad, ciencia, tecnología, innovación, países menos adelantados, tecnologías instrumentales, tecnología de la información y las comunicaciones, ODS.")</f>
        <v>Banco de tecnología, mecanismo de apoyo, creación de capacidad, ciencia, tecnología, innovación, países menos adelantados, tecnologías instrumentales, tecnología de la información y las comunicaciones, ODS.</v>
      </c>
      <c r="G96" s="7" t="s">
        <v>395</v>
      </c>
    </row>
    <row r="97" ht="15.75" customHeight="1">
      <c r="A97" s="4" t="s">
        <v>396</v>
      </c>
      <c r="B97" s="4" t="s">
        <v>324</v>
      </c>
      <c r="C97" s="5" t="s">
        <v>397</v>
      </c>
      <c r="D97" s="4" t="s">
        <v>398</v>
      </c>
      <c r="E97" s="4">
        <v>17.0</v>
      </c>
      <c r="F97" s="6" t="str">
        <f>IFERROR(__xludf.DUMMYFUNCTION("AI(""genera palabras clave a partir de la descripción proporcionanda teniendo en cuenta que está relacionada con metas de objetivos de desarrollo sostenible"",D97)"),"apoyo internacional, creación de capacidad, países en desarrollo, planes nacionales, Objetivos de Desarrollo Sostenible, cooperación Norte-Sur, cooperación Sur-Sur, cooperación triangular")</f>
        <v>apoyo internacional, creación de capacidad, países en desarrollo, planes nacionales, Objetivos de Desarrollo Sostenible, cooperación Norte-Sur, cooperación Sur-Sur, cooperación triangular</v>
      </c>
      <c r="G97" s="7" t="s">
        <v>399</v>
      </c>
    </row>
    <row r="98" ht="15.75" customHeight="1">
      <c r="A98" s="4" t="s">
        <v>400</v>
      </c>
      <c r="B98" s="4" t="s">
        <v>401</v>
      </c>
      <c r="C98" s="5" t="s">
        <v>402</v>
      </c>
      <c r="D98" s="4" t="s">
        <v>403</v>
      </c>
      <c r="E98" s="4">
        <v>2.0</v>
      </c>
      <c r="F98" s="6" t="str">
        <f>IFERROR(__xludf.DUMMYFUNCTION("AI(""genera palabras clave a partir de la descripción proporcionanda teniendo en cuenta que está relacionada con metas de objetivos de desarrollo sostenible"",D98)"),"2030, fin al hambre, acceso a alimentación, personas vulnerables, niños menores de 1 año, alimentación sana, alimentación nutritiva, alimentación suficiente, todo el año, Objetivo de Desarrollo Sostenible (ODS).")</f>
        <v>2030, fin al hambre, acceso a alimentación, personas vulnerables, niños menores de 1 año, alimentación sana, alimentación nutritiva, alimentación suficiente, todo el año, Objetivo de Desarrollo Sostenible (ODS).</v>
      </c>
      <c r="G98" s="7" t="s">
        <v>404</v>
      </c>
    </row>
    <row r="99" ht="15.75" customHeight="1">
      <c r="A99" s="4" t="s">
        <v>405</v>
      </c>
      <c r="B99" s="4" t="s">
        <v>401</v>
      </c>
      <c r="C99" s="5" t="s">
        <v>406</v>
      </c>
      <c r="D99" s="4" t="s">
        <v>407</v>
      </c>
      <c r="E99" s="4">
        <v>2.0</v>
      </c>
      <c r="F99" s="6" t="str">
        <f>IFERROR(__xludf.DUMMYFUNCTION("AI(""genera palabras clave a partir de la descripción proporcionanda teniendo en cuenta que está relacionada con metas de objetivos de desarrollo sostenible"",D99)"),"Malnutrición, Hambre Cero, Retraso del crecimiento, Emaciación, Nutrición, Niños menores de 5 años, Adolescentes, Mujeres embarazadas y lactantes, Personas de edad, 2030, 2025")</f>
        <v>Malnutrición, Hambre Cero, Retraso del crecimiento, Emaciación, Nutrición, Niños menores de 5 años, Adolescentes, Mujeres embarazadas y lactantes, Personas de edad, 2030, 2025</v>
      </c>
      <c r="G99" s="7" t="s">
        <v>408</v>
      </c>
    </row>
    <row r="100" ht="15.75" customHeight="1">
      <c r="A100" s="4" t="s">
        <v>409</v>
      </c>
      <c r="B100" s="4" t="s">
        <v>401</v>
      </c>
      <c r="C100" s="5" t="s">
        <v>410</v>
      </c>
      <c r="D100" s="4" t="s">
        <v>411</v>
      </c>
      <c r="E100" s="4">
        <v>2.0</v>
      </c>
      <c r="F100" s="6" t="str">
        <f>IFERROR(__xludf.DUMMYFUNCTION("AI(""genera palabras clave a partir de la descripción proporcionanda teniendo en cuenta que está relacionada con metas de objetivos de desarrollo sostenible"",D100)"),"Productividad agrícola, ingresos, productores de alimentos en pequeña escala, 2030, mujeres, pueblos indígenas, agricultores familiares, ganaderos, pescadores, acceso a tierras, recursos de producción, servicios financieros, mercados, empleos no agrícolas"&amp;", Objetivos de Desarrollo Sostenible (ODS).")</f>
        <v>Productividad agrícola, ingresos, productores de alimentos en pequeña escala, 2030, mujeres, pueblos indígenas, agricultores familiares, ganaderos, pescadores, acceso a tierras, recursos de producción, servicios financieros, mercados, empleos no agrícolas, Objetivos de Desarrollo Sostenible (ODS).</v>
      </c>
      <c r="G100" s="7" t="s">
        <v>412</v>
      </c>
    </row>
    <row r="101" ht="15.75" customHeight="1">
      <c r="A101" s="4" t="s">
        <v>413</v>
      </c>
      <c r="B101" s="4" t="s">
        <v>401</v>
      </c>
      <c r="C101" s="5" t="s">
        <v>414</v>
      </c>
      <c r="D101" s="4" t="s">
        <v>415</v>
      </c>
      <c r="E101" s="4">
        <v>2.0</v>
      </c>
      <c r="F101" s="6" t="str">
        <f>IFERROR(__xludf.DUMMYFUNCTION("AI(""genera palabras clave a partir de la descripción proporcionanda teniendo en cuenta que está relacionada con metas de objetivos de desarrollo sostenible"",D101)"),"Sostenibilidad alimentaria; Sistemas de producción de alimentos; Prácticas agrícolas resilientes; Productividad; Ecosistemas; Adaptación al cambio climático; Fenómenos meteorológicos extremos; Sequías; Inundaciones; Calidad de la tierra y el suelo; ODS.")</f>
        <v>Sostenibilidad alimentaria; Sistemas de producción de alimentos; Prácticas agrícolas resilientes; Productividad; Ecosistemas; Adaptación al cambio climático; Fenómenos meteorológicos extremos; Sequías; Inundaciones; Calidad de la tierra y el suelo; ODS.</v>
      </c>
      <c r="G101" s="7" t="s">
        <v>416</v>
      </c>
    </row>
    <row r="102" ht="15.75" customHeight="1">
      <c r="A102" s="4" t="s">
        <v>417</v>
      </c>
      <c r="B102" s="4" t="s">
        <v>401</v>
      </c>
      <c r="C102" s="5" t="s">
        <v>418</v>
      </c>
      <c r="D102" s="4" t="s">
        <v>419</v>
      </c>
      <c r="E102" s="4">
        <v>2.0</v>
      </c>
      <c r="F102" s="6" t="str">
        <f>IFERROR(__xludf.DUMMYFUNCTION("AI(""genera palabras clave a partir de la descripción proporcionanda teniendo en cuenta que está relacionada con metas de objetivos de desarrollo sostenible"",D102)"),"Diversidad genética, semillas, plantas cultivadas, animales domesticados, especies silvestres, bancos de semillas, recursos genéticos, conocimientos tradicionales, distribución justa y equitativa, objetivo de desarrollo sostenible.")</f>
        <v>Diversidad genética, semillas, plantas cultivadas, animales domesticados, especies silvestres, bancos de semillas, recursos genéticos, conocimientos tradicionales, distribución justa y equitativa, objetivo de desarrollo sostenible.</v>
      </c>
      <c r="G102" s="7" t="s">
        <v>420</v>
      </c>
    </row>
    <row r="103" ht="15.75" customHeight="1">
      <c r="A103" s="4" t="s">
        <v>421</v>
      </c>
      <c r="B103" s="4" t="s">
        <v>401</v>
      </c>
      <c r="C103" s="5" t="s">
        <v>422</v>
      </c>
      <c r="D103" s="4" t="s">
        <v>423</v>
      </c>
      <c r="E103" s="4">
        <v>2.0</v>
      </c>
      <c r="F103" s="6" t="str">
        <f>IFERROR(__xludf.DUMMYFUNCTION("AI(""genera palabras clave a partir de la descripción proporcionanda teniendo en cuenta que está relacionada con metas de objetivos de desarrollo sostenible"",D103)"),"Inversiones, infraestructura rural, investigación agrícola, servicios de extensión agrícola, desarrollo tecnológico, bancos de genes, capacidad de producción agropecuaria, países en desarrollo, países menos adelantados, Objetivo de Desarrollo Sostenible ("&amp;"ODS).")</f>
        <v>Inversiones, infraestructura rural, investigación agrícola, servicios de extensión agrícola, desarrollo tecnológico, bancos de genes, capacidad de producción agropecuaria, países en desarrollo, países menos adelantados, Objetivo de Desarrollo Sostenible (ODS).</v>
      </c>
      <c r="G103" s="7" t="s">
        <v>424</v>
      </c>
    </row>
    <row r="104" ht="15.75" customHeight="1">
      <c r="A104" s="4" t="s">
        <v>425</v>
      </c>
      <c r="B104" s="4" t="s">
        <v>401</v>
      </c>
      <c r="C104" s="5" t="s">
        <v>426</v>
      </c>
      <c r="D104" s="4" t="s">
        <v>427</v>
      </c>
      <c r="E104" s="4">
        <v>2.0</v>
      </c>
      <c r="F104" s="6" t="str">
        <f>IFERROR(__xludf.DUMMYFUNCTION("AI(""genera palabras clave a partir de la descripción proporcionanda teniendo en cuenta que está relacionada con metas de objetivos de desarrollo sostenible"",D104)"),"Restricciones comerciales, distorsiones, mercados agropecuarios, subvención a las exportaciones agrícolas, Ronda de Doha, desarrollo.")</f>
        <v>Restricciones comerciales, distorsiones, mercados agropecuarios, subvención a las exportaciones agrícolas, Ronda de Doha, desarrollo.</v>
      </c>
      <c r="G104" s="7" t="s">
        <v>428</v>
      </c>
    </row>
    <row r="105" ht="15.75" customHeight="1">
      <c r="A105" s="4" t="s">
        <v>429</v>
      </c>
      <c r="B105" s="4" t="s">
        <v>401</v>
      </c>
      <c r="C105" s="5" t="s">
        <v>430</v>
      </c>
      <c r="D105" s="4" t="s">
        <v>431</v>
      </c>
      <c r="E105" s="4">
        <v>2.0</v>
      </c>
      <c r="F105" s="6" t="str">
        <f>IFERROR(__xludf.DUMMYFUNCTION("AI(""genera palabras clave a partir de la descripción proporcionanda teniendo en cuenta que está relacionada con metas de objetivos de desarrollo sostenible"",D105)"),"Mercados de productos básicos alimentarios, derivados, información sobre mercados, reservas de alimentos, volatilidad de precios, alimentos.")</f>
        <v>Mercados de productos básicos alimentarios, derivados, información sobre mercados, reservas de alimentos, volatilidad de precios, alimentos.</v>
      </c>
      <c r="G105" s="7" t="s">
        <v>432</v>
      </c>
    </row>
    <row r="106" ht="15.75" customHeight="1">
      <c r="A106" s="4" t="s">
        <v>433</v>
      </c>
      <c r="B106" s="4" t="s">
        <v>434</v>
      </c>
      <c r="C106" s="5" t="s">
        <v>435</v>
      </c>
      <c r="D106" s="4" t="s">
        <v>436</v>
      </c>
      <c r="E106" s="4">
        <v>3.0</v>
      </c>
      <c r="F106" s="6" t="str">
        <f>IFERROR(__xludf.DUMMYFUNCTION("AI(""genera palabras clave a partir de la descripción proporcionanda teniendo en cuenta que está relacionada con metas de objetivos de desarrollo sostenible"",D106)"),"2030, mortalidad materna, reducir, 70/100.000, nacidos vivos, Objetivos de Desarrollo Sostenible (ODS), Meta 3.1.")</f>
        <v>2030, mortalidad materna, reducir, 70/100.000, nacidos vivos, Objetivos de Desarrollo Sostenible (ODS), Meta 3.1.</v>
      </c>
      <c r="G106" s="7" t="s">
        <v>437</v>
      </c>
    </row>
    <row r="107" ht="15.75" customHeight="1">
      <c r="A107" s="4" t="s">
        <v>438</v>
      </c>
      <c r="B107" s="4" t="s">
        <v>434</v>
      </c>
      <c r="C107" s="5" t="s">
        <v>439</v>
      </c>
      <c r="D107" s="4" t="s">
        <v>440</v>
      </c>
      <c r="E107" s="4">
        <v>3.0</v>
      </c>
      <c r="F107" s="6" t="str">
        <f>IFERROR(__xludf.DUMMYFUNCTION("AI(""genera palabras clave a partir de la descripción proporcionanda teniendo en cuenta que está relacionada con metas de objetivos de desarrollo sostenible"",D107)"),"Objetivos de Desarrollo Sostenible (ODS), Meta, 2030, muertes evitables, recién nacidos, niños menores de 5 años, mortalidad neonatal, mortalidad infantil.")</f>
        <v>Objetivos de Desarrollo Sostenible (ODS), Meta, 2030, muertes evitables, recién nacidos, niños menores de 5 años, mortalidad neonatal, mortalidad infantil.</v>
      </c>
      <c r="G107" s="7" t="s">
        <v>441</v>
      </c>
    </row>
    <row r="108" ht="15.75" customHeight="1">
      <c r="A108" s="4" t="s">
        <v>442</v>
      </c>
      <c r="B108" s="4" t="s">
        <v>434</v>
      </c>
      <c r="C108" s="5" t="s">
        <v>443</v>
      </c>
      <c r="D108" s="4" t="s">
        <v>444</v>
      </c>
      <c r="E108" s="4">
        <v>3.0</v>
      </c>
      <c r="F108" s="6" t="str">
        <f>IFERROR(__xludf.DUMMYFUNCTION("AI(""genera palabras clave a partir de la descripción proporcionanda teniendo en cuenta que está relacionada con metas de objetivos de desarrollo sostenible"",D108)"),"Objetivos de Desarrollo Sostenible (ODS), Salud, SIDA, tuberculosis, malaria, enfermedades tropicales desatendidas, hepatitis, enfermedades transmisibles, 2030.")</f>
        <v>Objetivos de Desarrollo Sostenible (ODS), Salud, SIDA, tuberculosis, malaria, enfermedades tropicales desatendidas, hepatitis, enfermedades transmisibles, 2030.</v>
      </c>
      <c r="G108" s="7" t="s">
        <v>445</v>
      </c>
    </row>
    <row r="109" ht="15.75" customHeight="1">
      <c r="A109" s="4" t="s">
        <v>446</v>
      </c>
      <c r="B109" s="4" t="s">
        <v>434</v>
      </c>
      <c r="C109" s="5" t="s">
        <v>447</v>
      </c>
      <c r="D109" s="4" t="s">
        <v>448</v>
      </c>
      <c r="E109" s="4">
        <v>3.0</v>
      </c>
      <c r="F109" s="6" t="str">
        <f>IFERROR(__xludf.DUMMYFUNCTION("AI(""genera palabras clave a partir de la descripción proporcionanda teniendo en cuenta que está relacionada con metas de objetivos de desarrollo sostenible"",D109)"),"2030, reducir mortalidad prematura, enfermedades no transmisibles, prevención, tratamiento, salud mental, bienestar, Objetivos de Desarrollo Sostenible (ODS), Objetivo 3: Salud y Bienestar.")</f>
        <v>2030, reducir mortalidad prematura, enfermedades no transmisibles, prevención, tratamiento, salud mental, bienestar, Objetivos de Desarrollo Sostenible (ODS), Objetivo 3: Salud y Bienestar.</v>
      </c>
      <c r="G109" s="7" t="s">
        <v>449</v>
      </c>
    </row>
    <row r="110" ht="15.75" customHeight="1">
      <c r="A110" s="4" t="s">
        <v>450</v>
      </c>
      <c r="B110" s="4" t="s">
        <v>434</v>
      </c>
      <c r="C110" s="5" t="s">
        <v>451</v>
      </c>
      <c r="D110" s="4" t="s">
        <v>452</v>
      </c>
      <c r="E110" s="4">
        <v>3.0</v>
      </c>
      <c r="F110" s="6" t="str">
        <f>IFERROR(__xludf.DUMMYFUNCTION("AI(""genera palabras clave a partir de la descripción proporcionanda teniendo en cuenta que está relacionada con metas de objetivos de desarrollo sostenible"",D110)"),"Prevención, tratamiento, abuso de sustancias, adicciones, estupefacientes, alcohol, ODS 3.5, salud y bienestar.")</f>
        <v>Prevención, tratamiento, abuso de sustancias, adicciones, estupefacientes, alcohol, ODS 3.5, salud y bienestar.</v>
      </c>
      <c r="G110" s="7" t="s">
        <v>453</v>
      </c>
    </row>
    <row r="111" ht="15.75" customHeight="1">
      <c r="A111" s="4" t="s">
        <v>454</v>
      </c>
      <c r="B111" s="4" t="s">
        <v>434</v>
      </c>
      <c r="C111" s="5" t="s">
        <v>455</v>
      </c>
      <c r="D111" s="4" t="s">
        <v>456</v>
      </c>
      <c r="E111" s="4">
        <v>3.0</v>
      </c>
      <c r="F111" s="6" t="str">
        <f>IFERROR(__xludf.DUMMYFUNCTION("AI(""genera palabras clave a partir de la descripción proporcionanda teniendo en cuenta que está relacionada con metas de objetivos de desarrollo sostenible"",D111)"),"Objetivos de Desarrollo Sostenible (ODS), meta 3.6, accidentes de tráfico, seguridad vial, reducir muertes y lesiones, salud y bienestar.")</f>
        <v>Objetivos de Desarrollo Sostenible (ODS), meta 3.6, accidentes de tráfico, seguridad vial, reducir muertes y lesiones, salud y bienestar.</v>
      </c>
      <c r="G111" s="7" t="s">
        <v>457</v>
      </c>
    </row>
    <row r="112" ht="15.75" customHeight="1">
      <c r="A112" s="4" t="s">
        <v>458</v>
      </c>
      <c r="B112" s="4" t="s">
        <v>434</v>
      </c>
      <c r="C112" s="5" t="s">
        <v>459</v>
      </c>
      <c r="D112" s="4" t="s">
        <v>460</v>
      </c>
      <c r="E112" s="4">
        <v>3.0</v>
      </c>
      <c r="F112" s="6" t="str">
        <f>IFERROR(__xludf.DUMMYFUNCTION("AI(""genera palabras clave a partir de la descripción proporcionanda teniendo en cuenta que está relacionada con metas de objetivos de desarrollo sostenible"",D112)"),"Salud sexual y reproductiva, Acceso universal, Planificación familiar, Información y educación, Estrategias y programas nacionales, ODS 2030, Meta 3.7.")</f>
        <v>Salud sexual y reproductiva, Acceso universal, Planificación familiar, Información y educación, Estrategias y programas nacionales, ODS 2030, Meta 3.7.</v>
      </c>
      <c r="G112" s="7" t="s">
        <v>461</v>
      </c>
    </row>
    <row r="113" ht="15.75" customHeight="1">
      <c r="A113" s="4" t="s">
        <v>462</v>
      </c>
      <c r="B113" s="4" t="s">
        <v>434</v>
      </c>
      <c r="C113" s="5" t="s">
        <v>463</v>
      </c>
      <c r="D113" s="4" t="s">
        <v>464</v>
      </c>
      <c r="E113" s="4">
        <v>3.0</v>
      </c>
      <c r="F113" s="6" t="str">
        <f>IFERROR(__xludf.DUMMYFUNCTION("AI(""genera palabras clave a partir de la descripción proporcionanda teniendo en cuenta que está relacionada con metas de objetivos de desarrollo sostenible"",D113)"),"Cobertura sanitaria universal, protección riesgos financieros, acceso servicios salud esenciales, medicamentos y vacunas, calidad, asequibles, Objetivos de Desarrollo Sostenible (ODS).")</f>
        <v>Cobertura sanitaria universal, protección riesgos financieros, acceso servicios salud esenciales, medicamentos y vacunas, calidad, asequibles, Objetivos de Desarrollo Sostenible (ODS).</v>
      </c>
      <c r="G113" s="7" t="s">
        <v>465</v>
      </c>
    </row>
    <row r="114" ht="15.75" customHeight="1">
      <c r="A114" s="4" t="s">
        <v>466</v>
      </c>
      <c r="B114" s="4" t="s">
        <v>434</v>
      </c>
      <c r="C114" s="5" t="s">
        <v>467</v>
      </c>
      <c r="D114" s="4" t="s">
        <v>468</v>
      </c>
      <c r="E114" s="4">
        <v>3.0</v>
      </c>
      <c r="F114" s="6" t="str">
        <f>IFERROR(__xludf.DUMMYFUNCTION("AI(""genera palabras clave a partir de la descripción proporcionanda teniendo en cuenta que está relacionada con metas de objetivos de desarrollo sostenible"",D114)"),"2030, reducir muertes, enfermedades, productos químicos peligrosos, polución, contaminación, aire, agua, suelo, Objetivos de Desarrollo Sostenible (ODS), salud.")</f>
        <v>2030, reducir muertes, enfermedades, productos químicos peligrosos, polución, contaminación, aire, agua, suelo, Objetivos de Desarrollo Sostenible (ODS), salud.</v>
      </c>
      <c r="G114" s="7" t="s">
        <v>469</v>
      </c>
    </row>
    <row r="115" ht="15.75" customHeight="1">
      <c r="A115" s="4" t="s">
        <v>470</v>
      </c>
      <c r="B115" s="4" t="s">
        <v>434</v>
      </c>
      <c r="C115" s="5" t="s">
        <v>471</v>
      </c>
      <c r="D115" s="4" t="s">
        <v>472</v>
      </c>
      <c r="E115" s="4">
        <v>3.0</v>
      </c>
      <c r="F115" s="6" t="str">
        <f>IFERROR(__xludf.DUMMYFUNCTION("AI(""genera palabras clave a partir de la descripción proporcionanda teniendo en cuenta que está relacionada con metas de objetivos de desarrollo sostenible"",D115)"),"Control del Tabaco, Convenio Marco de la OMS, Salud Pública, Aplicación del Convenio, Organización Mundial de la Salud, Objetivos de Desarrollo Sostenible (ODS), Política Sanitaria, Reducción de Tabaquismo.")</f>
        <v>Control del Tabaco, Convenio Marco de la OMS, Salud Pública, Aplicación del Convenio, Organización Mundial de la Salud, Objetivos de Desarrollo Sostenible (ODS), Política Sanitaria, Reducción de Tabaquismo.</v>
      </c>
      <c r="G115" s="7" t="s">
        <v>473</v>
      </c>
    </row>
    <row r="116" ht="15.75" customHeight="1">
      <c r="A116" s="4" t="s">
        <v>474</v>
      </c>
      <c r="B116" s="4" t="s">
        <v>434</v>
      </c>
      <c r="C116" s="5" t="s">
        <v>475</v>
      </c>
      <c r="D116" s="4" t="s">
        <v>476</v>
      </c>
      <c r="E116" s="4">
        <v>3.0</v>
      </c>
      <c r="F116" s="6" t="str">
        <f>IFERROR(__xludf.DUMMYFUNCTION("AI(""genera palabras clave a partir de la descripción proporcionanda teniendo en cuenta que está relacionada con metas de objetivos de desarrollo sostenible"",D116)"),"Investigación y desarrollo; Vacunas; Medicamentos; Enfermedades transmisibles; Enfermedades no transmisibles; Países en desarrollo; Acceso a medicamentos; Medicamentos esenciales; Vacunas asequibles; Derechos de Propiedad Intelectual; Salud Pública; Cober"&amp;"tura sanitaria universal.")</f>
        <v>Investigación y desarrollo; Vacunas; Medicamentos; Enfermedades transmisibles; Enfermedades no transmisibles; Países en desarrollo; Acceso a medicamentos; Medicamentos esenciales; Vacunas asequibles; Derechos de Propiedad Intelectual; Salud Pública; Cobertura sanitaria universal.</v>
      </c>
      <c r="G116" s="7" t="s">
        <v>477</v>
      </c>
    </row>
    <row r="117" ht="15.75" customHeight="1">
      <c r="A117" s="4" t="s">
        <v>478</v>
      </c>
      <c r="B117" s="4" t="s">
        <v>434</v>
      </c>
      <c r="C117" s="5" t="s">
        <v>479</v>
      </c>
      <c r="D117" s="4" t="s">
        <v>480</v>
      </c>
      <c r="E117" s="4">
        <v>3.0</v>
      </c>
      <c r="F117" s="6" t="str">
        <f>IFERROR(__xludf.DUMMYFUNCTION("AI(""genera palabras clave a partir de la descripción proporcionanda teniendo en cuenta que está relacionada con metas de objetivos de desarrollo sostenible"",D117)"),"Financiación de la salud, contratación, perfeccionamiento, capacitación, retención, personal sanitario, países en desarrollo, países menos adelantados, pequeños Estados insulares en desarrollo, Objetivos de Desarrollo Sostenible (ODS), Meta.")</f>
        <v>Financiación de la salud, contratación, perfeccionamiento, capacitación, retención, personal sanitario, países en desarrollo, países menos adelantados, pequeños Estados insulares en desarrollo, Objetivos de Desarrollo Sostenible (ODS), Meta.</v>
      </c>
      <c r="G117" s="7" t="s">
        <v>481</v>
      </c>
    </row>
    <row r="118" ht="15.75" customHeight="1">
      <c r="A118" s="4" t="s">
        <v>482</v>
      </c>
      <c r="B118" s="4" t="s">
        <v>434</v>
      </c>
      <c r="C118" s="5" t="s">
        <v>483</v>
      </c>
      <c r="D118" s="4" t="s">
        <v>484</v>
      </c>
      <c r="E118" s="4">
        <v>3.0</v>
      </c>
      <c r="F118" s="6" t="str">
        <f>IFERROR(__xludf.DUMMYFUNCTION("AI(""genera palabras clave a partir de la descripción proporcionanda teniendo en cuenta que está relacionada con metas de objetivos de desarrollo sostenible"",D118)"),"Palabras clave: Capacidad de los países, países en desarrollo, alerta temprana, reducción de riesgos, gestión de riesgos, salud nacional y mundial, ODS, Objetivo de Desarrollo Sostenible.")</f>
        <v>Palabras clave: Capacidad de los países, países en desarrollo, alerta temprana, reducción de riesgos, gestión de riesgos, salud nacional y mundial, ODS, Objetivo de Desarrollo Sostenible.</v>
      </c>
      <c r="G118" s="7" t="s">
        <v>485</v>
      </c>
    </row>
    <row r="119" ht="15.75" customHeight="1">
      <c r="A119" s="4" t="s">
        <v>486</v>
      </c>
      <c r="B119" s="4" t="s">
        <v>487</v>
      </c>
      <c r="C119" s="5" t="s">
        <v>488</v>
      </c>
      <c r="D119" s="4" t="s">
        <v>489</v>
      </c>
      <c r="E119" s="4">
        <v>4.0</v>
      </c>
      <c r="F119" s="6" t="str">
        <f>IFERROR(__xludf.DUMMYFUNCTION("AI(""genera palabras clave a partir de la descripción proporcionanda teniendo en cuenta que está relacionada con metas de objetivos de desarrollo sostenible"",D119)"),"2030, educación, primaria, secundaria, gratuita, equitativa, calidad, aprendizaje.")</f>
        <v>2030, educación, primaria, secundaria, gratuita, equitativa, calidad, aprendizaje.</v>
      </c>
      <c r="G119" s="7" t="s">
        <v>490</v>
      </c>
    </row>
    <row r="120" ht="15.75" customHeight="1">
      <c r="A120" s="4" t="s">
        <v>491</v>
      </c>
      <c r="B120" s="4" t="s">
        <v>487</v>
      </c>
      <c r="C120" s="5" t="s">
        <v>492</v>
      </c>
      <c r="D120" s="4" t="s">
        <v>493</v>
      </c>
      <c r="E120" s="4">
        <v>4.0</v>
      </c>
      <c r="F120" s="6" t="str">
        <f>IFERROR(__xludf.DUMMYFUNCTION("AI(""genera palabras clave a partir de la descripción proporcionanda teniendo en cuenta que está relacionada con metas de objetivos de desarrollo sostenible"",D120)"),"Objetivos de Desarrollo Sostenible (ODS), Meta 4.2, educación de calidad, primera infancia, educación preescolar, enseñanza primaria, 2030, atención y desarrollo.")</f>
        <v>Objetivos de Desarrollo Sostenible (ODS), Meta 4.2, educación de calidad, primera infancia, educación preescolar, enseñanza primaria, 2030, atención y desarrollo.</v>
      </c>
      <c r="G120" s="7" t="s">
        <v>494</v>
      </c>
    </row>
    <row r="121" ht="15.75" customHeight="1">
      <c r="A121" s="4" t="s">
        <v>495</v>
      </c>
      <c r="B121" s="4" t="s">
        <v>487</v>
      </c>
      <c r="C121" s="5" t="s">
        <v>496</v>
      </c>
      <c r="D121" s="4" t="s">
        <v>497</v>
      </c>
      <c r="E121" s="4">
        <v>4.0</v>
      </c>
      <c r="F121" s="6" t="str">
        <f>IFERROR(__xludf.DUMMYFUNCTION("AI(""genera palabras clave a partir de la descripción proporcionanda teniendo en cuenta que está relacionada con metas de objetivos de desarrollo sostenible"",D121)"),"2030, acceso igualitario, formación técnica, formación profesional, educación superior, calidad, enseñanza universitaria, ODS, Meta.")</f>
        <v>2030, acceso igualitario, formación técnica, formación profesional, educación superior, calidad, enseñanza universitaria, ODS, Meta.</v>
      </c>
      <c r="G121" s="7" t="s">
        <v>498</v>
      </c>
    </row>
    <row r="122" ht="15.75" customHeight="1">
      <c r="A122" s="4" t="s">
        <v>499</v>
      </c>
      <c r="B122" s="4" t="s">
        <v>487</v>
      </c>
      <c r="C122" s="5" t="s">
        <v>500</v>
      </c>
      <c r="D122" s="4" t="s">
        <v>501</v>
      </c>
      <c r="E122" s="4">
        <v>4.0</v>
      </c>
      <c r="F122" s="6" t="str">
        <f>IFERROR(__xludf.DUMMYFUNCTION("AI(""genera palabras clave a partir de la descripción proporcionanda teniendo en cuenta que está relacionada con metas de objetivos de desarrollo sostenible"",D122)"),"Competencias, técnicas y profesionales, empleo, trabajo decente, emprendimiento, jóvenes y adultos, 2030, ODS.")</f>
        <v>Competencias, técnicas y profesionales, empleo, trabajo decente, emprendimiento, jóvenes y adultos, 2030, ODS.</v>
      </c>
      <c r="G122" s="7" t="s">
        <v>502</v>
      </c>
    </row>
    <row r="123" ht="15.75" customHeight="1">
      <c r="A123" s="4" t="s">
        <v>503</v>
      </c>
      <c r="B123" s="4" t="s">
        <v>487</v>
      </c>
      <c r="C123" s="5" t="s">
        <v>504</v>
      </c>
      <c r="D123" s="4" t="s">
        <v>505</v>
      </c>
      <c r="E123" s="4">
        <v>4.0</v>
      </c>
      <c r="F123" s="6" t="str">
        <f>IFERROR(__xludf.DUMMYFUNCTION("AI(""genera palabras clave a partir de la descripción proporcionanda teniendo en cuenta que está relacionada con metas de objetivos de desarrollo sostenible"",D123)"),"Educación, disparidades de género, acceso igualitario, formación profesional, personas vulnerables, discapacidad, pueblos indígenas, ODS, Agenda 2030.")</f>
        <v>Educación, disparidades de género, acceso igualitario, formación profesional, personas vulnerables, discapacidad, pueblos indígenas, ODS, Agenda 2030.</v>
      </c>
      <c r="G123" s="7" t="s">
        <v>506</v>
      </c>
    </row>
    <row r="124" ht="15.75" customHeight="1">
      <c r="A124" s="4" t="s">
        <v>507</v>
      </c>
      <c r="B124" s="4" t="s">
        <v>487</v>
      </c>
      <c r="C124" s="5" t="s">
        <v>508</v>
      </c>
      <c r="D124" s="4" t="s">
        <v>509</v>
      </c>
      <c r="E124" s="4">
        <v>4.0</v>
      </c>
      <c r="F124" s="6" t="str">
        <f>IFERROR(__xludf.DUMMYFUNCTION("AI(""genera palabras clave a partir de la descripción proporcionanda teniendo en cuenta que está relacionada con metas de objetivos de desarrollo sostenible"",D124)"),"2030, jóvenes, adultos, alfabetización, aritmética, educación, ODS, meta, aprendizaje.")</f>
        <v>2030, jóvenes, adultos, alfabetización, aritmética, educación, ODS, meta, aprendizaje.</v>
      </c>
      <c r="G124" s="7" t="s">
        <v>510</v>
      </c>
    </row>
    <row r="125" ht="15.75" customHeight="1">
      <c r="A125" s="4" t="s">
        <v>511</v>
      </c>
      <c r="B125" s="4" t="s">
        <v>487</v>
      </c>
      <c r="C125" s="5" t="s">
        <v>512</v>
      </c>
      <c r="D125" s="4" t="s">
        <v>513</v>
      </c>
      <c r="E125" s="4">
        <v>4.0</v>
      </c>
      <c r="F125" s="6" t="str">
        <f>IFERROR(__xludf.DUMMYFUNCTION("AI(""genera palabras clave a partir de la descripción proporcionanda teniendo en cuenta que está relacionada con metas de objetivos de desarrollo sostenible"",D125)"),"Desarrollo Sostenible, Educación, 2030, Derechos Humanos, Igualdad de Género, Cultura de Paz, Ciudadanía Mundial, Diversidad Cultural.")</f>
        <v>Desarrollo Sostenible, Educación, 2030, Derechos Humanos, Igualdad de Género, Cultura de Paz, Ciudadanía Mundial, Diversidad Cultural.</v>
      </c>
      <c r="G125" s="7" t="s">
        <v>514</v>
      </c>
    </row>
    <row r="126" ht="15.75" customHeight="1">
      <c r="A126" s="4" t="s">
        <v>515</v>
      </c>
      <c r="B126" s="4" t="s">
        <v>487</v>
      </c>
      <c r="C126" s="5" t="s">
        <v>516</v>
      </c>
      <c r="D126" s="4" t="s">
        <v>517</v>
      </c>
      <c r="E126" s="4">
        <v>4.0</v>
      </c>
      <c r="F126" s="6" t="str">
        <f>IFERROR(__xludf.DUMMYFUNCTION("AI(""genera palabras clave a partir de la descripción proporcionanda teniendo en cuenta que está relacionada con metas de objetivos de desarrollo sostenible"",D126)"),"Instalaciones educativas, discapacidad, diferencias de género, entornos de aprendizaje seguros, no violentos, inclusivos, eficaces, ODS 4, educación de calidad.")</f>
        <v>Instalaciones educativas, discapacidad, diferencias de género, entornos de aprendizaje seguros, no violentos, inclusivos, eficaces, ODS 4, educación de calidad.</v>
      </c>
      <c r="G126" s="7" t="s">
        <v>518</v>
      </c>
    </row>
    <row r="127" ht="15.75" customHeight="1">
      <c r="A127" s="4" t="s">
        <v>519</v>
      </c>
      <c r="B127" s="4" t="s">
        <v>487</v>
      </c>
      <c r="C127" s="5" t="s">
        <v>520</v>
      </c>
      <c r="D127" s="4" t="s">
        <v>521</v>
      </c>
      <c r="E127" s="4">
        <v>4.0</v>
      </c>
      <c r="F127" s="6" t="str">
        <f>IFERROR(__xludf.DUMMYFUNCTION("AI(""genera palabras clave a partir de la descripción proporcionanda teniendo en cuenta que está relacionada con metas de objetivos de desarrollo sostenible"",D127)"),"Becas, países en desarrollo, enseñanza superior, formación profesional, programas técnicos, programas científicos, ingeniería, tecnología de la información y las comunicaciones, Objetivos de Desarrollo Sostenible (ODS), Meta.")</f>
        <v>Becas, países en desarrollo, enseñanza superior, formación profesional, programas técnicos, programas científicos, ingeniería, tecnología de la información y las comunicaciones, Objetivos de Desarrollo Sostenible (ODS), Meta.</v>
      </c>
      <c r="G127" s="7" t="s">
        <v>522</v>
      </c>
    </row>
    <row r="128" ht="15.75" customHeight="1">
      <c r="A128" s="4" t="s">
        <v>523</v>
      </c>
      <c r="B128" s="4" t="s">
        <v>487</v>
      </c>
      <c r="C128" s="5" t="s">
        <v>524</v>
      </c>
      <c r="D128" s="4" t="s">
        <v>525</v>
      </c>
      <c r="E128" s="4">
        <v>4.0</v>
      </c>
      <c r="F128" s="6" t="str">
        <f>IFERROR(__xludf.DUMMYFUNCTION("AI(""genera palabras clave a partir de la descripción proporcionanda teniendo en cuenta que está relacionada con metas de objetivos de desarrollo sostenible"",D128)"),"2030, docentes calificados, cooperación internacional, formación de docentes, países en desarrollo, países menos adelantados, pequeños Estados insulares en desarrollo.")</f>
        <v>2030, docentes calificados, cooperación internacional, formación de docentes, países en desarrollo, países menos adelantados, pequeños Estados insulares en desarrollo.</v>
      </c>
      <c r="G128" s="7" t="s">
        <v>526</v>
      </c>
    </row>
    <row r="129" ht="15.75" customHeight="1">
      <c r="A129" s="4" t="s">
        <v>527</v>
      </c>
      <c r="B129" s="4" t="s">
        <v>528</v>
      </c>
      <c r="C129" s="5" t="s">
        <v>529</v>
      </c>
      <c r="D129" s="4" t="s">
        <v>530</v>
      </c>
      <c r="E129" s="4">
        <v>5.0</v>
      </c>
      <c r="F129" s="6" t="str">
        <f>IFERROR(__xludf.DUMMYFUNCTION("AI(""genera palabras clave a partir de la descripción proporcionanda teniendo en cuenta que está relacionada con metas de objetivos de desarrollo sostenible"",D129)"),"discriminación, mujeres, niñas, igualdad de género, ODS, meta, desarrollo sostenible")</f>
        <v>discriminación, mujeres, niñas, igualdad de género, ODS, meta, desarrollo sostenible</v>
      </c>
      <c r="G129" s="7" t="s">
        <v>531</v>
      </c>
    </row>
    <row r="130" ht="15.75" customHeight="1">
      <c r="A130" s="4" t="s">
        <v>532</v>
      </c>
      <c r="B130" s="4" t="s">
        <v>528</v>
      </c>
      <c r="C130" s="5" t="s">
        <v>533</v>
      </c>
      <c r="D130" s="4" t="s">
        <v>534</v>
      </c>
      <c r="E130" s="4">
        <v>5.0</v>
      </c>
      <c r="F130" s="6" t="str">
        <f>IFERROR(__xludf.DUMMYFUNCTION("AI(""genera palabras clave a partir de la descripción proporcionanda teniendo en cuenta que está relacionada con metas de objetivos de desarrollo sostenible"",D130)"),"violencia, mujeres, niñas, ámbito público, ámbito privado, trata, explotación sexual, explotación, ODS")</f>
        <v>violencia, mujeres, niñas, ámbito público, ámbito privado, trata, explotación sexual, explotación, ODS</v>
      </c>
      <c r="G130" s="7" t="s">
        <v>535</v>
      </c>
    </row>
    <row r="131" ht="15.75" customHeight="1">
      <c r="A131" s="4" t="s">
        <v>536</v>
      </c>
      <c r="B131" s="4" t="s">
        <v>528</v>
      </c>
      <c r="C131" s="5" t="s">
        <v>537</v>
      </c>
      <c r="D131" s="4" t="s">
        <v>538</v>
      </c>
      <c r="E131" s="4">
        <v>5.0</v>
      </c>
      <c r="F131" s="6" t="str">
        <f>IFERROR(__xludf.DUMMYFUNCTION("AI(""genera palabras clave a partir de la descripción proporcionanda teniendo en cuenta que está relacionada con metas de objetivos de desarrollo sostenible"",D131)"),"Prácticas nocivas, Matrimonio infantil, Matrimonio precoz, Matrimonio forzado, Mutilación genital femenina, Igualdad de género, ODS.")</f>
        <v>Prácticas nocivas, Matrimonio infantil, Matrimonio precoz, Matrimonio forzado, Mutilación genital femenina, Igualdad de género, ODS.</v>
      </c>
      <c r="G131" s="7" t="s">
        <v>539</v>
      </c>
    </row>
    <row r="132" ht="15.75" customHeight="1">
      <c r="A132" s="4" t="s">
        <v>540</v>
      </c>
      <c r="B132" s="4" t="s">
        <v>528</v>
      </c>
      <c r="C132" s="5" t="s">
        <v>541</v>
      </c>
      <c r="D132" s="4" t="s">
        <v>542</v>
      </c>
      <c r="E132" s="4">
        <v>5.0</v>
      </c>
      <c r="F132" s="6" t="str">
        <f>IFERROR(__xludf.DUMMYFUNCTION("AI(""genera palabras clave a partir de la descripción proporcionanda teniendo en cuenta que está relacionada con metas de objetivos de desarrollo sostenible"",D132)"),"Cuidados, Trabajo doméstico no remunerado, Servicios públicos, Infraestructuras, Protección social, Responsabilidad compartida, Hogar y familia, Igualdad de género, ODS.")</f>
        <v>Cuidados, Trabajo doméstico no remunerado, Servicios públicos, Infraestructuras, Protección social, Responsabilidad compartida, Hogar y familia, Igualdad de género, ODS.</v>
      </c>
      <c r="G132" s="7" t="s">
        <v>543</v>
      </c>
    </row>
    <row r="133" ht="15.75" customHeight="1">
      <c r="A133" s="4" t="s">
        <v>544</v>
      </c>
      <c r="B133" s="4" t="s">
        <v>528</v>
      </c>
      <c r="C133" s="5" t="s">
        <v>545</v>
      </c>
      <c r="D133" s="4" t="s">
        <v>546</v>
      </c>
      <c r="E133" s="4">
        <v>5.0</v>
      </c>
      <c r="F133" s="6" t="str">
        <f>IFERROR(__xludf.DUMMYFUNCTION("AI(""genera palabras clave a partir de la descripción proporcionanda teniendo en cuenta que está relacionada con metas de objetivos de desarrollo sostenible"",D133)"),"Participación de las mujeres, Igualdad de oportunidades, Liderazgo, Niveles decisorios, Vida política, Vida económica, Vida pública, Objetivo de Desarrollo Sostenible (ODS), Igualdad de género.")</f>
        <v>Participación de las mujeres, Igualdad de oportunidades, Liderazgo, Niveles decisorios, Vida política, Vida económica, Vida pública, Objetivo de Desarrollo Sostenible (ODS), Igualdad de género.</v>
      </c>
      <c r="G133" s="7" t="s">
        <v>547</v>
      </c>
    </row>
    <row r="134" ht="15.75" customHeight="1">
      <c r="A134" s="4" t="s">
        <v>548</v>
      </c>
      <c r="B134" s="4" t="s">
        <v>528</v>
      </c>
      <c r="C134" s="5" t="s">
        <v>549</v>
      </c>
      <c r="D134" s="4" t="s">
        <v>550</v>
      </c>
      <c r="E134" s="4">
        <v>5.0</v>
      </c>
      <c r="F134" s="6" t="str">
        <f>IFERROR(__xludf.DUMMYFUNCTION("AI(""genera palabras clave a partir de la descripción proporcionanda teniendo en cuenta que está relacionada con metas de objetivos de desarrollo sostenible"",D134)"),"Salud sexual y reproductiva, derechos reproductivos, acceso universal, Programa de Acción de la Conferencia Internacional sobre la Población y el Desarrollo, Plataforma de Acción de Beijing, Objetivos de Desarrollo Sostenible (ODS)")</f>
        <v>Salud sexual y reproductiva, derechos reproductivos, acceso universal, Programa de Acción de la Conferencia Internacional sobre la Población y el Desarrollo, Plataforma de Acción de Beijing, Objetivos de Desarrollo Sostenible (ODS)</v>
      </c>
      <c r="G134" s="7" t="s">
        <v>551</v>
      </c>
    </row>
    <row r="135" ht="15.75" customHeight="1">
      <c r="A135" s="4" t="s">
        <v>552</v>
      </c>
      <c r="B135" s="4" t="s">
        <v>528</v>
      </c>
      <c r="C135" s="5" t="s">
        <v>553</v>
      </c>
      <c r="D135" s="4" t="s">
        <v>554</v>
      </c>
      <c r="E135" s="4">
        <v>5.0</v>
      </c>
      <c r="F135" s="6" t="str">
        <f>IFERROR(__xludf.DUMMYFUNCTION("AI(""genera palabras clave a partir de la descripción proporcionanda teniendo en cuenta que está relacionada con metas de objetivos de desarrollo sostenible"",D135)"),"igualdad de derechos, recursos económicos, propiedad, control de la tierra, servicios financieros, herencia, recursos naturales, mujeres, leyes nacionales, ODS")</f>
        <v>igualdad de derechos, recursos económicos, propiedad, control de la tierra, servicios financieros, herencia, recursos naturales, mujeres, leyes nacionales, ODS</v>
      </c>
      <c r="G135" s="7" t="s">
        <v>555</v>
      </c>
    </row>
    <row r="136" ht="15.75" customHeight="1">
      <c r="A136" s="4" t="s">
        <v>556</v>
      </c>
      <c r="B136" s="4" t="s">
        <v>528</v>
      </c>
      <c r="C136" s="5" t="s">
        <v>557</v>
      </c>
      <c r="D136" s="4" t="s">
        <v>558</v>
      </c>
      <c r="E136" s="4">
        <v>5.0</v>
      </c>
      <c r="F136" s="6" t="str">
        <f>IFERROR(__xludf.DUMMYFUNCTION("AI(""genera palabras clave a partir de la descripción proporcionanda teniendo en cuenta que está relacionada con metas de objetivos de desarrollo sostenible"",D136)"),"Tecnología, Tecnología instrumental, TIC, Información y comunicaciones, Empoderamiento de las mujeres, Igualdad de género, ODS 5.")</f>
        <v>Tecnología, Tecnología instrumental, TIC, Información y comunicaciones, Empoderamiento de las mujeres, Igualdad de género, ODS 5.</v>
      </c>
      <c r="G136" s="7" t="s">
        <v>559</v>
      </c>
    </row>
    <row r="137" ht="15.75" customHeight="1">
      <c r="A137" s="4" t="s">
        <v>560</v>
      </c>
      <c r="B137" s="4" t="s">
        <v>528</v>
      </c>
      <c r="C137" s="5" t="s">
        <v>561</v>
      </c>
      <c r="D137" s="4" t="s">
        <v>562</v>
      </c>
      <c r="E137" s="4">
        <v>5.0</v>
      </c>
      <c r="F137" s="6" t="str">
        <f>IFERROR(__xludf.DUMMYFUNCTION("AI(""genera palabras clave a partir de la descripción proporcionanda teniendo en cuenta que está relacionada con metas de objetivos de desarrollo sostenible"",D137)"),"Igualdad de género, empoderamiento de la mujer, políticas acertadas, leyes aplicables, Objetivos de Desarrollo Sostenible (ODS), Meta 5.c")</f>
        <v>Igualdad de género, empoderamiento de la mujer, políticas acertadas, leyes aplicables, Objetivos de Desarrollo Sostenible (ODS), Meta 5.c</v>
      </c>
      <c r="G137" s="7" t="s">
        <v>563</v>
      </c>
    </row>
    <row r="138" ht="15.75" customHeight="1">
      <c r="A138" s="4" t="s">
        <v>564</v>
      </c>
      <c r="B138" s="4" t="s">
        <v>565</v>
      </c>
      <c r="C138" s="5" t="s">
        <v>566</v>
      </c>
      <c r="D138" s="4" t="s">
        <v>567</v>
      </c>
      <c r="E138" s="4">
        <v>6.0</v>
      </c>
      <c r="F138" s="6" t="str">
        <f>IFERROR(__xludf.DUMMYFUNCTION("AI(""genera palabras clave a partir de la descripción proporcionanda teniendo en cuenta que está relacionada con metas de objetivos de desarrollo sostenible"",D138)"),"2030, acceso universal, equitativo, agua potable, precio asequible, Objetivos de Desarrollo Sostenible (ODS), Meta 6.1.")</f>
        <v>2030, acceso universal, equitativo, agua potable, precio asequible, Objetivos de Desarrollo Sostenible (ODS), Meta 6.1.</v>
      </c>
      <c r="G138" s="7" t="s">
        <v>568</v>
      </c>
    </row>
    <row r="139" ht="15.75" customHeight="1">
      <c r="A139" s="4" t="s">
        <v>569</v>
      </c>
      <c r="B139" s="4" t="s">
        <v>565</v>
      </c>
      <c r="C139" s="5" t="s">
        <v>570</v>
      </c>
      <c r="D139" s="4" t="s">
        <v>571</v>
      </c>
      <c r="E139" s="4">
        <v>6.0</v>
      </c>
      <c r="F139" s="6" t="str">
        <f>IFERROR(__xludf.DUMMYFUNCTION("AI(""genera palabras clave a partir de la descripción proporcionanda teniendo en cuenta que está relacionada con metas de objetivos de desarrollo sostenible"",D139)"),"2030, saneamiento, higiene, equitativo, defecación al aire libre, mujeres, niñas, vulnerabilidad, ODS 6.2, Objetivo de Desarrollo Sostenible.")</f>
        <v>2030, saneamiento, higiene, equitativo, defecación al aire libre, mujeres, niñas, vulnerabilidad, ODS 6.2, Objetivo de Desarrollo Sostenible.</v>
      </c>
      <c r="G139" s="7" t="s">
        <v>572</v>
      </c>
    </row>
    <row r="140" ht="15.75" customHeight="1">
      <c r="A140" s="4" t="s">
        <v>573</v>
      </c>
      <c r="B140" s="4" t="s">
        <v>565</v>
      </c>
      <c r="C140" s="5" t="s">
        <v>574</v>
      </c>
      <c r="D140" s="4" t="s">
        <v>575</v>
      </c>
      <c r="E140" s="4">
        <v>6.0</v>
      </c>
      <c r="F140" s="6" t="str">
        <f>IFERROR(__xludf.DUMMYFUNCTION("AI(""genera palabras clave a partir de la descripción proporcionanda teniendo en cuenta que está relacionada con metas de objetivos de desarrollo sostenible"",D140)"),"Calidad del agua, Contaminación, Vertimiento, Productos químicos peligrosos, Materiales peligrosos, Aguas residuales sin tratar, Reciclado, Reutilización, Objetivo 6, Desarrollo Sostenible, 2030")</f>
        <v>Calidad del agua, Contaminación, Vertimiento, Productos químicos peligrosos, Materiales peligrosos, Aguas residuales sin tratar, Reciclado, Reutilización, Objetivo 6, Desarrollo Sostenible, 2030</v>
      </c>
      <c r="G140" s="7" t="s">
        <v>576</v>
      </c>
    </row>
    <row r="141" ht="15.75" customHeight="1">
      <c r="A141" s="4" t="s">
        <v>577</v>
      </c>
      <c r="B141" s="4" t="s">
        <v>565</v>
      </c>
      <c r="C141" s="5" t="s">
        <v>578</v>
      </c>
      <c r="D141" s="4" t="s">
        <v>579</v>
      </c>
      <c r="E141" s="4">
        <v>6.0</v>
      </c>
      <c r="F141" s="6" t="str">
        <f>IFERROR(__xludf.DUMMYFUNCTION("AI(""genera palabras clave a partir de la descripción proporcionanda teniendo en cuenta que está relacionada con metas de objetivos de desarrollo sostenible"",D141)"),"uso eficiente del agua, recursos hídricos, sostenibilidad, extracción de agua dulce, abastecimiento de agua dulce, escasez de agua, falta de agua, 2030, Objetivos de Desarrollo Sostenible (ODS), Meta 6.4 (por contexto de agua y saneamiento)")</f>
        <v>uso eficiente del agua, recursos hídricos, sostenibilidad, extracción de agua dulce, abastecimiento de agua dulce, escasez de agua, falta de agua, 2030, Objetivos de Desarrollo Sostenible (ODS), Meta 6.4 (por contexto de agua y saneamiento)</v>
      </c>
      <c r="G141" s="7" t="s">
        <v>580</v>
      </c>
    </row>
    <row r="142" ht="15.75" customHeight="1">
      <c r="A142" s="4" t="s">
        <v>581</v>
      </c>
      <c r="B142" s="4" t="s">
        <v>565</v>
      </c>
      <c r="C142" s="5" t="s">
        <v>582</v>
      </c>
      <c r="D142" s="4" t="s">
        <v>583</v>
      </c>
      <c r="E142" s="4">
        <v>6.0</v>
      </c>
      <c r="F142" s="6" t="str">
        <f>IFERROR(__xludf.DUMMYFUNCTION("AI(""genera palabras clave a partir de la descripción proporcionanda teniendo en cuenta que está relacionada con metas de objetivos de desarrollo sostenible"",D142)"),"Gestión integrada de recursos hídricos (GIRH), cooperación transfronteriza, recursos hídricos, ODS 6, 2030, agua.")</f>
        <v>Gestión integrada de recursos hídricos (GIRH), cooperación transfronteriza, recursos hídricos, ODS 6, 2030, agua.</v>
      </c>
      <c r="G142" s="7" t="s">
        <v>584</v>
      </c>
    </row>
    <row r="143" ht="15.75" customHeight="1">
      <c r="A143" s="4" t="s">
        <v>585</v>
      </c>
      <c r="B143" s="4" t="s">
        <v>565</v>
      </c>
      <c r="C143" s="5" t="s">
        <v>586</v>
      </c>
      <c r="D143" s="4" t="s">
        <v>587</v>
      </c>
      <c r="E143" s="4">
        <v>6.0</v>
      </c>
      <c r="F143" s="6" t="str">
        <f>IFERROR(__xludf.DUMMYFUNCTION("AI(""genera palabras clave a partir de la descripción proporcionanda teniendo en cuenta que está relacionada con metas de objetivos de desarrollo sostenible"",D143)"),"Ecosistemas relacionados con el agua, Proteger, Restablecer, Bosques, Montañas, Humedales, Ríos, Acuíferos, Lagos, Meta 6.6, Objetivos de Desarrollo Sostenible (ODS).")</f>
        <v>Ecosistemas relacionados con el agua, Proteger, Restablecer, Bosques, Montañas, Humedales, Ríos, Acuíferos, Lagos, Meta 6.6, Objetivos de Desarrollo Sostenible (ODS).</v>
      </c>
      <c r="G143" s="7" t="s">
        <v>588</v>
      </c>
    </row>
    <row r="144" ht="15.75" customHeight="1">
      <c r="A144" s="4" t="s">
        <v>589</v>
      </c>
      <c r="B144" s="4" t="s">
        <v>565</v>
      </c>
      <c r="C144" s="5" t="s">
        <v>590</v>
      </c>
      <c r="D144" s="4" t="s">
        <v>591</v>
      </c>
      <c r="E144" s="4">
        <v>6.0</v>
      </c>
      <c r="F144" s="6" t="str">
        <f>IFERROR(__xludf.DUMMYFUNCTION("AI(""genera palabras clave a partir de la descripción proporcionanda teniendo en cuenta que está relacionada con metas de objetivos de desarrollo sostenible"",D144)"),"Cooperación internacional, apoyo a países en desarrollo, creación de capacidad, agua, saneamiento, captación de agua, desalinización, uso eficiente de los recursos hídricos, tratamiento de aguas residuales, reciclado, tecnologías de reutilización, ODS 6.")</f>
        <v>Cooperación internacional, apoyo a países en desarrollo, creación de capacidad, agua, saneamiento, captación de agua, desalinización, uso eficiente de los recursos hídricos, tratamiento de aguas residuales, reciclado, tecnologías de reutilización, ODS 6.</v>
      </c>
      <c r="G144" s="7" t="s">
        <v>592</v>
      </c>
    </row>
    <row r="145" ht="15.75" customHeight="1">
      <c r="A145" s="4" t="s">
        <v>593</v>
      </c>
      <c r="B145" s="4" t="s">
        <v>565</v>
      </c>
      <c r="C145" s="5" t="s">
        <v>594</v>
      </c>
      <c r="D145" s="4" t="s">
        <v>595</v>
      </c>
      <c r="E145" s="4">
        <v>6.0</v>
      </c>
      <c r="F145" s="6" t="str">
        <f>IFERROR(__xludf.DUMMYFUNCTION("AI(""genera palabras clave a partir de la descripción proporcionanda teniendo en cuenta que está relacionada con metas de objetivos de desarrollo sostenible"",D145)"),"Participación comunitaria, gestión del agua, saneamiento, ODS 6, comunidades locales, mejora, fortalecimiento.")</f>
        <v>Participación comunitaria, gestión del agua, saneamiento, ODS 6, comunidades locales, mejora, fortalecimiento.</v>
      </c>
      <c r="G145" s="7" t="s">
        <v>596</v>
      </c>
    </row>
    <row r="146" ht="15.75" customHeight="1">
      <c r="A146" s="4" t="s">
        <v>597</v>
      </c>
      <c r="B146" s="4" t="s">
        <v>598</v>
      </c>
      <c r="C146" s="5" t="s">
        <v>599</v>
      </c>
      <c r="D146" s="4" t="s">
        <v>600</v>
      </c>
      <c r="E146" s="4">
        <v>7.0</v>
      </c>
      <c r="F146" s="6" t="str">
        <f>IFERROR(__xludf.DUMMYFUNCTION("AI(""genera palabras clave a partir de la descripción proporcionanda teniendo en cuenta que está relacionada con metas de objetivos de desarrollo sostenible"",D146)"),"acceso universal, servicios energéticos, asequibles, fiables, modernos, 2030, ODS 7, energía sostenible")</f>
        <v>acceso universal, servicios energéticos, asequibles, fiables, modernos, 2030, ODS 7, energía sostenible</v>
      </c>
      <c r="G146" s="7" t="s">
        <v>601</v>
      </c>
    </row>
    <row r="147" ht="15.75" customHeight="1">
      <c r="A147" s="4" t="s">
        <v>602</v>
      </c>
      <c r="B147" s="4" t="s">
        <v>598</v>
      </c>
      <c r="C147" s="5" t="s">
        <v>603</v>
      </c>
      <c r="D147" s="4" t="s">
        <v>604</v>
      </c>
      <c r="E147" s="4">
        <v>7.0</v>
      </c>
      <c r="F147" s="6" t="str">
        <f>IFERROR(__xludf.DUMMYFUNCTION("AI(""genera palabras clave a partir de la descripción proporcionanda teniendo en cuenta que está relacionada con metas de objetivos de desarrollo sostenible"",D147)"),"2030, energía renovable, fuentes energéticas, ODS, Objetivo de Desarrollo Sostenible, Meta 7.2.")</f>
        <v>2030, energía renovable, fuentes energéticas, ODS, Objetivo de Desarrollo Sostenible, Meta 7.2.</v>
      </c>
      <c r="G147" s="7" t="s">
        <v>605</v>
      </c>
    </row>
    <row r="148" ht="15.75" customHeight="1">
      <c r="A148" s="4" t="s">
        <v>606</v>
      </c>
      <c r="B148" s="4" t="s">
        <v>598</v>
      </c>
      <c r="C148" s="5" t="s">
        <v>607</v>
      </c>
      <c r="D148" s="4" t="s">
        <v>608</v>
      </c>
      <c r="E148" s="4">
        <v>7.0</v>
      </c>
      <c r="F148" s="6" t="str">
        <f>IFERROR(__xludf.DUMMYFUNCTION("AI(""genera palabras clave a partir de la descripción proporcionanda teniendo en cuenta que está relacionada con metas de objetivos de desarrollo sostenible"",D148)"),"2030, eficiencia energética, duplicar tasa mundial, Objetivos de Desarrollo Sostenible (ODS), ODS 7.3, energía sostenible.")</f>
        <v>2030, eficiencia energética, duplicar tasa mundial, Objetivos de Desarrollo Sostenible (ODS), ODS 7.3, energía sostenible.</v>
      </c>
      <c r="G148" s="7" t="s">
        <v>609</v>
      </c>
    </row>
    <row r="149" ht="15.75" customHeight="1">
      <c r="A149" s="4" t="s">
        <v>610</v>
      </c>
      <c r="B149" s="4" t="s">
        <v>598</v>
      </c>
      <c r="C149" s="5" t="s">
        <v>611</v>
      </c>
      <c r="D149" s="4" t="s">
        <v>612</v>
      </c>
      <c r="E149" s="4">
        <v>7.0</v>
      </c>
      <c r="F149" s="6" t="str">
        <f>IFERROR(__xludf.DUMMYFUNCTION("AI(""genera palabras clave a partir de la descripción proporcionanda teniendo en cuenta que está relacionada con metas de objetivos de desarrollo sostenible"",D149)"),"Cooperación internacional, acceso a tecnología, energía limpia, fuentes renovables, eficiencia energética, combustibles fósiles menos contaminantes, inversión, infraestructura energética, tecnologías limpias, ODS 7 (referencia al horizonte 2030 y temática"&amp;" energética).")</f>
        <v>Cooperación internacional, acceso a tecnología, energía limpia, fuentes renovables, eficiencia energética, combustibles fósiles menos contaminantes, inversión, infraestructura energética, tecnologías limpias, ODS 7 (referencia al horizonte 2030 y temática energética).</v>
      </c>
      <c r="G149" s="7" t="s">
        <v>613</v>
      </c>
    </row>
    <row r="150" ht="15.75" customHeight="1">
      <c r="A150" s="4" t="s">
        <v>614</v>
      </c>
      <c r="B150" s="4" t="s">
        <v>598</v>
      </c>
      <c r="C150" s="5" t="s">
        <v>615</v>
      </c>
      <c r="D150" s="4" t="s">
        <v>616</v>
      </c>
      <c r="E150" s="4">
        <v>7.0</v>
      </c>
      <c r="F150" s="6" t="str">
        <f>IFERROR(__xludf.DUMMYFUNCTION("AI(""genera palabras clave a partir de la descripción proporcionanda teniendo en cuenta que está relacionada con metas de objetivos de desarrollo sostenible"",D150)"),"Infraestructura, tecnología, servicios energéticos modernos, sostenibles, países en desarrollo, países menos adelantados, pequeños Estados insulares en desarrollo, países en desarrollo sin litoral, programas de apoyo, Objetivo 7 (Energía), ODS.")</f>
        <v>Infraestructura, tecnología, servicios energéticos modernos, sostenibles, países en desarrollo, países menos adelantados, pequeños Estados insulares en desarrollo, países en desarrollo sin litoral, programas de apoyo, Objetivo 7 (Energía), ODS.</v>
      </c>
      <c r="G150" s="7" t="s">
        <v>617</v>
      </c>
    </row>
    <row r="151" ht="15.75" customHeight="1">
      <c r="A151" s="4" t="s">
        <v>618</v>
      </c>
      <c r="B151" s="4" t="s">
        <v>619</v>
      </c>
      <c r="C151" s="5" t="s">
        <v>620</v>
      </c>
      <c r="D151" s="4" t="s">
        <v>621</v>
      </c>
      <c r="E151" s="4">
        <v>8.0</v>
      </c>
      <c r="F151" s="6" t="str">
        <f>IFERROR(__xludf.DUMMYFUNCTION("AI(""genera palabras clave a partir de la descripción proporcionanda teniendo en cuenta que está relacionada con metas de objetivos de desarrollo sostenible"",D151)"),"Crecimiento económico, per cápita, producto interno bruto (PIB), 7% anual, países menos adelantados (PMA), Objetivos de Desarrollo Sostenible (ODS).")</f>
        <v>Crecimiento económico, per cápita, producto interno bruto (PIB), 7% anual, países menos adelantados (PMA), Objetivos de Desarrollo Sostenible (ODS).</v>
      </c>
      <c r="G151" s="7" t="s">
        <v>622</v>
      </c>
    </row>
    <row r="152" ht="15.75" customHeight="1">
      <c r="A152" s="4" t="s">
        <v>623</v>
      </c>
      <c r="B152" s="4" t="s">
        <v>619</v>
      </c>
      <c r="C152" s="5" t="s">
        <v>624</v>
      </c>
      <c r="D152" s="4" t="s">
        <v>625</v>
      </c>
      <c r="E152" s="4">
        <v>8.0</v>
      </c>
      <c r="F152" s="6" t="str">
        <f>IFERROR(__xludf.DUMMYFUNCTION("AI(""genera palabras clave a partir de la descripción proporcionanda teniendo en cuenta que está relacionada con metas de objetivos de desarrollo sostenible"",D152)"),"instituciones financieras, servicios bancarios, servicios financieros, seguros, acceso universal, Objetivos de Desarrollo Sostenible, ODS 8.10")</f>
        <v>instituciones financieras, servicios bancarios, servicios financieros, seguros, acceso universal, Objetivos de Desarrollo Sostenible, ODS 8.10</v>
      </c>
      <c r="G152" s="7" t="s">
        <v>626</v>
      </c>
    </row>
    <row r="153" ht="15.75" customHeight="1">
      <c r="A153" s="4" t="s">
        <v>627</v>
      </c>
      <c r="B153" s="4" t="s">
        <v>619</v>
      </c>
      <c r="C153" s="5" t="s">
        <v>628</v>
      </c>
      <c r="D153" s="4" t="s">
        <v>629</v>
      </c>
      <c r="E153" s="4">
        <v>8.0</v>
      </c>
      <c r="F153" s="6" t="str">
        <f>IFERROR(__xludf.DUMMYFUNCTION("AI(""genera palabras clave a partir de la descripción proporcionanda teniendo en cuenta que está relacionada con metas de objetivos de desarrollo sostenible"",D153)"),"Productividad económica, diversificación, modernización tecnológica, innovación, gran valor añadido, uso intensivo de la mano de obra, ODS 8.2.")</f>
        <v>Productividad económica, diversificación, modernización tecnológica, innovación, gran valor añadido, uso intensivo de la mano de obra, ODS 8.2.</v>
      </c>
      <c r="G153" s="7" t="s">
        <v>630</v>
      </c>
    </row>
    <row r="154" ht="15.75" customHeight="1">
      <c r="A154" s="4" t="s">
        <v>631</v>
      </c>
      <c r="B154" s="4" t="s">
        <v>619</v>
      </c>
      <c r="C154" s="5" t="s">
        <v>632</v>
      </c>
      <c r="D154" s="4" t="s">
        <v>633</v>
      </c>
      <c r="E154" s="4">
        <v>8.0</v>
      </c>
      <c r="F154" s="6" t="str">
        <f>IFERROR(__xludf.DUMMYFUNCTION("AI(""genera palabras clave a partir de la descripción proporcionanda teniendo en cuenta que está relacionada con metas de objetivos de desarrollo sostenible"",D154)"),"Políticas de desarrollo, actividades productivas, puestos de trabajo decentes, emprendimiento, creatividad, innovación, formalización, crecimiento empresarial, microempresas, pequeñas y medianas empresas (PYMES), acceso a servicios financieros, ODS 8.")</f>
        <v>Políticas de desarrollo, actividades productivas, puestos de trabajo decentes, emprendimiento, creatividad, innovación, formalización, crecimiento empresarial, microempresas, pequeñas y medianas empresas (PYMES), acceso a servicios financieros, ODS 8.</v>
      </c>
      <c r="G154" s="7" t="s">
        <v>634</v>
      </c>
    </row>
    <row r="155" ht="15.75" customHeight="1">
      <c r="A155" s="4" t="s">
        <v>635</v>
      </c>
      <c r="B155" s="4" t="s">
        <v>619</v>
      </c>
      <c r="C155" s="5" t="s">
        <v>636</v>
      </c>
      <c r="D155" s="4" t="s">
        <v>637</v>
      </c>
      <c r="E155" s="4">
        <v>8.0</v>
      </c>
      <c r="F155" s="6" t="str">
        <f>IFERROR(__xludf.DUMMYFUNCTION("AI(""genera palabras clave a partir de la descripción proporcionanda teniendo en cuenta que está relacionada con metas de objetivos de desarrollo sostenible"",D155)"),"2030, producción, consumo eficiente, recursos mundiales, crecimiento económico, degradación medio ambiente, Marco Decenal de Programas, consumo y producción sostenibles, países desarrollados")</f>
        <v>2030, producción, consumo eficiente, recursos mundiales, crecimiento económico, degradación medio ambiente, Marco Decenal de Programas, consumo y producción sostenibles, países desarrollados</v>
      </c>
      <c r="G155" s="7" t="s">
        <v>638</v>
      </c>
    </row>
    <row r="156" ht="15.75" customHeight="1">
      <c r="A156" s="4" t="s">
        <v>639</v>
      </c>
      <c r="B156" s="4" t="s">
        <v>619</v>
      </c>
      <c r="C156" s="5" t="s">
        <v>640</v>
      </c>
      <c r="D156" s="4" t="s">
        <v>641</v>
      </c>
      <c r="E156" s="4">
        <v>8.0</v>
      </c>
      <c r="F156" s="6" t="str">
        <f>IFERROR(__xludf.DUMMYFUNCTION("AI(""genera palabras clave a partir de la descripción proporcionanda teniendo en cuenta que está relacionada con metas de objetivos de desarrollo sostenible"",D156)"),"2030, empleo pleno, empleo productivo, trabajo decente, mujeres, hombres, jóvenes, personas con discapacidad, igualdad de remuneración, trabajo de igual valor, ODS.")</f>
        <v>2030, empleo pleno, empleo productivo, trabajo decente, mujeres, hombres, jóvenes, personas con discapacidad, igualdad de remuneración, trabajo de igual valor, ODS.</v>
      </c>
      <c r="G156" s="7" t="s">
        <v>642</v>
      </c>
    </row>
    <row r="157" ht="15.75" customHeight="1">
      <c r="A157" s="4" t="s">
        <v>643</v>
      </c>
      <c r="B157" s="4" t="s">
        <v>619</v>
      </c>
      <c r="C157" s="5" t="s">
        <v>644</v>
      </c>
      <c r="D157" s="4" t="s">
        <v>645</v>
      </c>
      <c r="E157" s="4">
        <v>8.0</v>
      </c>
      <c r="F157" s="6" t="str">
        <f>IFERROR(__xludf.DUMMYFUNCTION("AI(""genera palabras clave a partir de la descripción proporcionanda teniendo en cuenta que está relacionada con metas de objetivos de desarrollo sostenible"",D157)"),"jóvenes, empleo, estudios, capacitación, reducir, desempleo juvenil, ODS, meta 2020")</f>
        <v>jóvenes, empleo, estudios, capacitación, reducir, desempleo juvenil, ODS, meta 2020</v>
      </c>
      <c r="G157" s="7" t="s">
        <v>646</v>
      </c>
    </row>
    <row r="158" ht="15.75" customHeight="1">
      <c r="A158" s="4" t="s">
        <v>647</v>
      </c>
      <c r="B158" s="4" t="s">
        <v>619</v>
      </c>
      <c r="C158" s="5" t="s">
        <v>648</v>
      </c>
      <c r="D158" s="4" t="s">
        <v>649</v>
      </c>
      <c r="E158" s="4">
        <v>8.0</v>
      </c>
      <c r="F158" s="6" t="str">
        <f>IFERROR(__xludf.DUMMYFUNCTION("AI(""genera palabras clave a partir de la descripción proporcionanda teniendo en cuenta que está relacionada con metas de objetivos de desarrollo sostenible"",D158)"),"Trabajo forzoso, esclavitud moderna, trata de personas, trabajo infantil, peores formas de trabajo infantil, niños soldados, ODS (Objetivos de Desarrollo Sostenible).")</f>
        <v>Trabajo forzoso, esclavitud moderna, trata de personas, trabajo infantil, peores formas de trabajo infantil, niños soldados, ODS (Objetivos de Desarrollo Sostenible).</v>
      </c>
      <c r="G158" s="7" t="s">
        <v>650</v>
      </c>
    </row>
    <row r="159" ht="15.75" customHeight="1">
      <c r="A159" s="4" t="s">
        <v>651</v>
      </c>
      <c r="B159" s="4" t="s">
        <v>619</v>
      </c>
      <c r="C159" s="5" t="s">
        <v>652</v>
      </c>
      <c r="D159" s="4" t="s">
        <v>653</v>
      </c>
      <c r="E159" s="4">
        <v>8.0</v>
      </c>
      <c r="F159" s="6" t="str">
        <f>IFERROR(__xludf.DUMMYFUNCTION("AI(""genera palabras clave a partir de la descripción proporcionanda teniendo en cuenta que está relacionada con metas de objetivos de desarrollo sostenible"",D159)"),"derechos laborales, trabajo seguro, entorno sin riesgos, trabajadores, trabajadores migrantes, mujeres migrantes, empleos precarios, ODS 8.8")</f>
        <v>derechos laborales, trabajo seguro, entorno sin riesgos, trabajadores, trabajadores migrantes, mujeres migrantes, empleos precarios, ODS 8.8</v>
      </c>
      <c r="G159" s="7" t="s">
        <v>654</v>
      </c>
    </row>
    <row r="160" ht="15.75" customHeight="1">
      <c r="A160" s="4" t="s">
        <v>655</v>
      </c>
      <c r="B160" s="4" t="s">
        <v>619</v>
      </c>
      <c r="C160" s="5" t="s">
        <v>656</v>
      </c>
      <c r="D160" s="4" t="s">
        <v>657</v>
      </c>
      <c r="E160" s="4">
        <v>8.0</v>
      </c>
      <c r="F160" s="6" t="str">
        <f>IFERROR(__xludf.DUMMYFUNCTION("AI(""genera palabras clave a partir de la descripción proporcionanda teniendo en cuenta que está relacionada con metas de objetivos de desarrollo sostenible"",D160)"),"Turismo sostenible, políticas, 2030, puestos de trabajo, cultura, productos locales, ODS, Agenda 2030, meta 8.9.")</f>
        <v>Turismo sostenible, políticas, 2030, puestos de trabajo, cultura, productos locales, ODS, Agenda 2030, meta 8.9.</v>
      </c>
      <c r="G160" s="7" t="s">
        <v>658</v>
      </c>
    </row>
    <row r="161" ht="15.75" customHeight="1">
      <c r="A161" s="4" t="s">
        <v>659</v>
      </c>
      <c r="B161" s="4" t="s">
        <v>619</v>
      </c>
      <c r="C161" s="5" t="s">
        <v>660</v>
      </c>
      <c r="D161" s="4" t="s">
        <v>661</v>
      </c>
      <c r="E161" s="4">
        <v>8.0</v>
      </c>
      <c r="F161" s="6" t="str">
        <f>IFERROR(__xludf.DUMMYFUNCTION("AI(""genera palabras clave a partir de la descripción proporcionanda teniendo en cuenta que está relacionada con metas de objetivos de desarrollo sostenible"",D161)"),"Ayuda para el comercio, países en desarrollo, países menos adelantados (PMA), Marco Integrado Mejorado (MIM), asistencia técnica, comercio, apoyo.")</f>
        <v>Ayuda para el comercio, países en desarrollo, países menos adelantados (PMA), Marco Integrado Mejorado (MIM), asistencia técnica, comercio, apoyo.</v>
      </c>
      <c r="G161" s="7" t="s">
        <v>662</v>
      </c>
    </row>
    <row r="162" ht="15.75" customHeight="1">
      <c r="A162" s="4" t="s">
        <v>663</v>
      </c>
      <c r="B162" s="4" t="s">
        <v>619</v>
      </c>
      <c r="C162" s="5" t="s">
        <v>664</v>
      </c>
      <c r="D162" s="4" t="s">
        <v>665</v>
      </c>
      <c r="E162" s="4">
        <v>8.0</v>
      </c>
      <c r="F162" s="6" t="str">
        <f>IFERROR(__xludf.DUMMYFUNCTION("AI(""genera palabras clave a partir de la descripción proporcionanda teniendo en cuenta que está relacionada con metas de objetivos de desarrollo sostenible"",D162)"),"Estrategia mundial, empleo de los jóvenes, Pacto Mundial para el Empleo, OIT, Objetivos de Desarrollo Sostenible (ODS), 2020.")</f>
        <v>Estrategia mundial, empleo de los jóvenes, Pacto Mundial para el Empleo, OIT, Objetivos de Desarrollo Sostenible (ODS), 2020.</v>
      </c>
      <c r="G162" s="7" t="s">
        <v>666</v>
      </c>
    </row>
    <row r="163" ht="15.75" customHeight="1">
      <c r="A163" s="4" t="s">
        <v>667</v>
      </c>
      <c r="B163" s="4" t="s">
        <v>668</v>
      </c>
      <c r="C163" s="5" t="s">
        <v>669</v>
      </c>
      <c r="D163" s="4" t="s">
        <v>670</v>
      </c>
      <c r="E163" s="4">
        <v>9.0</v>
      </c>
      <c r="F163" s="6" t="str">
        <f>IFERROR(__xludf.DUMMYFUNCTION("AI(""genera palabras clave a partir de la descripción proporcionanda teniendo en cuenta que está relacionada con metas de objetivos de desarrollo sostenible"",D163)"),"infraestructuras, fiables, sostenibles, resilientes, calidad, regionales, transfronterizas, desarrollo económico, bienestar humano, acceso asequible, acceso equitativo")</f>
        <v>infraestructuras, fiables, sostenibles, resilientes, calidad, regionales, transfronterizas, desarrollo económico, bienestar humano, acceso asequible, acceso equitativo</v>
      </c>
      <c r="G163" s="7" t="s">
        <v>671</v>
      </c>
    </row>
    <row r="164" ht="15.75" customHeight="1">
      <c r="A164" s="4" t="s">
        <v>672</v>
      </c>
      <c r="B164" s="4" t="s">
        <v>668</v>
      </c>
      <c r="C164" s="5" t="s">
        <v>669</v>
      </c>
      <c r="D164" s="4" t="s">
        <v>673</v>
      </c>
      <c r="E164" s="4">
        <v>9.0</v>
      </c>
      <c r="F164" s="6" t="str">
        <f>IFERROR(__xludf.DUMMYFUNCTION("AI(""genera palabras clave a partir de la descripción proporcionanda teniendo en cuenta que está relacionada con metas de objetivos de desarrollo sostenible"",D164)"),"Industrialización, inclusiva, sostenible, 2030, empleo, producto interno bruto, países menos adelantados, desarrollo sostenible")</f>
        <v>Industrialización, inclusiva, sostenible, 2030, empleo, producto interno bruto, países menos adelantados, desarrollo sostenible</v>
      </c>
      <c r="G164" s="7" t="s">
        <v>674</v>
      </c>
    </row>
    <row r="165" ht="15.75" customHeight="1">
      <c r="A165" s="4" t="s">
        <v>675</v>
      </c>
      <c r="B165" s="4" t="s">
        <v>668</v>
      </c>
      <c r="C165" s="5" t="s">
        <v>669</v>
      </c>
      <c r="D165" s="4" t="s">
        <v>676</v>
      </c>
      <c r="E165" s="4">
        <v>9.0</v>
      </c>
      <c r="F165" s="6" t="str">
        <f>IFERROR(__xludf.DUMMYFUNCTION("AI(""genera palabras clave a partir de la descripción proporcionanda teniendo en cuenta que está relacionada con metas de objetivos de desarrollo sostenible"",D165)"),"Pequeñas industrias, empresas, países en desarrollo, acceso a servicios financieros, créditos asequibles, integración en cadenas de valor, mercados, Objetivos de Desarrollo Sostenible (ODS), Meta 9.3, financiación PYMES.")</f>
        <v>Pequeñas industrias, empresas, países en desarrollo, acceso a servicios financieros, créditos asequibles, integración en cadenas de valor, mercados, Objetivos de Desarrollo Sostenible (ODS), Meta 9.3, financiación PYMES.</v>
      </c>
      <c r="G165" s="7" t="s">
        <v>677</v>
      </c>
    </row>
    <row r="166" ht="15.75" customHeight="1">
      <c r="A166" s="4" t="s">
        <v>678</v>
      </c>
      <c r="B166" s="4" t="s">
        <v>668</v>
      </c>
      <c r="C166" s="5" t="s">
        <v>669</v>
      </c>
      <c r="D166" s="4" t="s">
        <v>679</v>
      </c>
      <c r="E166" s="4">
        <v>9.0</v>
      </c>
      <c r="F166" s="6" t="str">
        <f>IFERROR(__xludf.DUMMYFUNCTION("AI(""genera palabras clave a partir de la descripción proporcionanda teniendo en cuenta que está relacionada con metas de objetivos de desarrollo sostenible"",D166)"),"2030, modernizar infraestructura, industrias sostenibles, recursos, mayor eficacia, tecnologías limpias, procesos industriales, ambientalmente racionales, capacidades respectivas, Objetivo de Desarrollo Sostenible (ODS), Meta 9.4.")</f>
        <v>2030, modernizar infraestructura, industrias sostenibles, recursos, mayor eficacia, tecnologías limpias, procesos industriales, ambientalmente racionales, capacidades respectivas, Objetivo de Desarrollo Sostenible (ODS), Meta 9.4.</v>
      </c>
      <c r="G166" s="7" t="s">
        <v>680</v>
      </c>
    </row>
    <row r="167" ht="15.75" customHeight="1">
      <c r="A167" s="4" t="s">
        <v>681</v>
      </c>
      <c r="B167" s="4" t="s">
        <v>668</v>
      </c>
      <c r="C167" s="5" t="s">
        <v>669</v>
      </c>
      <c r="D167" s="4" t="s">
        <v>682</v>
      </c>
      <c r="E167" s="4">
        <v>9.0</v>
      </c>
      <c r="F167" s="6" t="str">
        <f>IFERROR(__xludf.DUMMYFUNCTION("AI(""genera palabras clave a partir de la descripción proporcionanda teniendo en cuenta que está relacionada con metas de objetivos de desarrollo sostenible"",D167)"),"Investigación científica, Capacidad tecnológica, Sectores industriales, Países en desarrollo, Innovación, Investigación y desarrollo (I+D), Gasto I+D, 2030, Objetivo de Desarrollo Sostenible (ODS), Meta 9.5.")</f>
        <v>Investigación científica, Capacidad tecnológica, Sectores industriales, Países en desarrollo, Innovación, Investigación y desarrollo (I+D), Gasto I+D, 2030, Objetivo de Desarrollo Sostenible (ODS), Meta 9.5.</v>
      </c>
      <c r="G167" s="7" t="s">
        <v>683</v>
      </c>
    </row>
    <row r="168" ht="15.75" customHeight="1">
      <c r="A168" s="4" t="s">
        <v>684</v>
      </c>
      <c r="B168" s="4" t="s">
        <v>668</v>
      </c>
      <c r="C168" s="5" t="s">
        <v>669</v>
      </c>
      <c r="D168" s="4" t="s">
        <v>685</v>
      </c>
      <c r="E168" s="4">
        <v>9.0</v>
      </c>
      <c r="F168" s="6" t="str">
        <f>IFERROR(__xludf.DUMMYFUNCTION("AI(""genera palabras clave a partir de la descripción proporcionanda teniendo en cuenta que está relacionada con metas de objetivos de desarrollo sostenible"",D168)"),"infraestructuras sostenibles, infraestructuras resilientes, países en desarrollo, apoyo financiero, apoyo tecnológico, apoyo técnico, países africanos, países menos adelantados, países en desarrollo sin litoral, pequeños Estados insulares en desarrollo, O"&amp;"bjetivos de Desarrollo Sostenible (ODS).")</f>
        <v>infraestructuras sostenibles, infraestructuras resilientes, países en desarrollo, apoyo financiero, apoyo tecnológico, apoyo técnico, países africanos, países menos adelantados, países en desarrollo sin litoral, pequeños Estados insulares en desarrollo, Objetivos de Desarrollo Sostenible (ODS).</v>
      </c>
      <c r="G168" s="7" t="s">
        <v>686</v>
      </c>
    </row>
    <row r="169" ht="15.75" customHeight="1">
      <c r="A169" s="4" t="s">
        <v>687</v>
      </c>
      <c r="B169" s="4" t="s">
        <v>668</v>
      </c>
      <c r="C169" s="5" t="s">
        <v>669</v>
      </c>
      <c r="D169" s="4" t="s">
        <v>688</v>
      </c>
      <c r="E169" s="4">
        <v>9.0</v>
      </c>
      <c r="F169" s="6" t="str">
        <f>IFERROR(__xludf.DUMMYFUNCTION("AI(""genera palabras clave a partir de la descripción proporcionanda teniendo en cuenta que está relacionada con metas de objetivos de desarrollo sostenible"",D169)"),"tecnologías, investigación, innovación, países en desarrollo, entorno normativo, diversificación industrial, adición de valor, productos básicos, ODS.")</f>
        <v>tecnologías, investigación, innovación, países en desarrollo, entorno normativo, diversificación industrial, adición de valor, productos básicos, ODS.</v>
      </c>
      <c r="G169" s="7" t="s">
        <v>689</v>
      </c>
    </row>
    <row r="170" ht="15.75" customHeight="1">
      <c r="A170" s="4" t="s">
        <v>690</v>
      </c>
      <c r="B170" s="4" t="s">
        <v>668</v>
      </c>
      <c r="C170" s="5" t="s">
        <v>669</v>
      </c>
      <c r="D170" s="4" t="s">
        <v>691</v>
      </c>
      <c r="E170" s="4">
        <v>9.0</v>
      </c>
      <c r="F170" s="6" t="str">
        <f>IFERROR(__xludf.DUMMYFUNCTION("AI(""genera palabras clave a partir de la descripción proporcionanda teniendo en cuenta que está relacionada con metas de objetivos de desarrollo sostenible"",D170)"),"Acceso a tecnología, TIC, Internet universal, Internet asequible, Países menos adelantados, Brecha digital, ODS, Meta 2020.")</f>
        <v>Acceso a tecnología, TIC, Internet universal, Internet asequible, Países menos adelantados, Brecha digital, ODS, Meta 2020.</v>
      </c>
      <c r="G170" s="7" t="s">
        <v>692</v>
      </c>
    </row>
    <row r="171" ht="15.75" customHeight="1">
      <c r="C171" s="9"/>
    </row>
    <row r="172" ht="15.75" customHeight="1">
      <c r="C172" s="9"/>
    </row>
    <row r="173" ht="15.75" customHeight="1">
      <c r="C173" s="9"/>
    </row>
    <row r="174" ht="15.75" customHeight="1">
      <c r="C174" s="9"/>
    </row>
    <row r="175" ht="15.75" customHeight="1">
      <c r="C175" s="9"/>
    </row>
    <row r="176" ht="15.75" customHeight="1">
      <c r="C176" s="9"/>
    </row>
    <row r="177" ht="15.75" customHeight="1">
      <c r="C177" s="9"/>
    </row>
    <row r="178" ht="15.75" customHeight="1">
      <c r="C178" s="9"/>
    </row>
    <row r="179" ht="15.75" customHeight="1">
      <c r="C179" s="9"/>
    </row>
    <row r="180" ht="15.75" customHeight="1">
      <c r="C180" s="9"/>
    </row>
    <row r="181" ht="15.75" customHeight="1">
      <c r="C181" s="9"/>
    </row>
    <row r="182" ht="15.75" customHeight="1">
      <c r="C182" s="9"/>
    </row>
    <row r="183" ht="15.75" customHeight="1">
      <c r="C183" s="9"/>
    </row>
    <row r="184" ht="15.75" customHeight="1">
      <c r="C184" s="9"/>
    </row>
    <row r="185" ht="15.75" customHeight="1">
      <c r="C185" s="9"/>
    </row>
    <row r="186" ht="15.75" customHeight="1">
      <c r="C186" s="9"/>
    </row>
    <row r="187" ht="15.75" customHeight="1">
      <c r="C187" s="9"/>
    </row>
    <row r="188" ht="15.75" customHeight="1">
      <c r="C188" s="9"/>
    </row>
    <row r="189" ht="15.75" customHeight="1">
      <c r="C189" s="9"/>
    </row>
    <row r="190" ht="15.75" customHeight="1">
      <c r="C190" s="9"/>
    </row>
    <row r="191" ht="15.75" customHeight="1">
      <c r="C191" s="9"/>
    </row>
    <row r="192" ht="15.75" customHeight="1">
      <c r="C192" s="9"/>
    </row>
    <row r="193" ht="15.75" customHeight="1">
      <c r="C193" s="9"/>
    </row>
    <row r="194" ht="15.75" customHeight="1">
      <c r="C194" s="9"/>
    </row>
    <row r="195" ht="15.75" customHeight="1">
      <c r="C195" s="9"/>
    </row>
    <row r="196" ht="15.75" customHeight="1">
      <c r="C196" s="9"/>
    </row>
    <row r="197" ht="15.75" customHeight="1">
      <c r="C197" s="9"/>
    </row>
    <row r="198" ht="15.75" customHeight="1">
      <c r="C198" s="9"/>
    </row>
    <row r="199" ht="15.75" customHeight="1">
      <c r="C199" s="9"/>
    </row>
    <row r="200" ht="15.75" customHeight="1">
      <c r="C200" s="9"/>
    </row>
    <row r="201" ht="15.75" customHeight="1">
      <c r="C201" s="9"/>
    </row>
    <row r="202" ht="15.75" customHeight="1">
      <c r="C202" s="9"/>
    </row>
    <row r="203" ht="15.75" customHeight="1">
      <c r="C203" s="9"/>
    </row>
    <row r="204" ht="15.75" customHeight="1">
      <c r="C204" s="9"/>
    </row>
    <row r="205" ht="15.75" customHeight="1">
      <c r="C205" s="9"/>
    </row>
    <row r="206" ht="15.75" customHeight="1">
      <c r="C206" s="9"/>
    </row>
    <row r="207" ht="15.75" customHeight="1">
      <c r="C207" s="9"/>
    </row>
    <row r="208" ht="15.75" customHeight="1">
      <c r="C208" s="9"/>
    </row>
    <row r="209" ht="15.75" customHeight="1">
      <c r="C209" s="9"/>
    </row>
    <row r="210" ht="15.75" customHeight="1">
      <c r="C210" s="9"/>
    </row>
    <row r="211" ht="15.75" customHeight="1">
      <c r="C211" s="9"/>
    </row>
    <row r="212" ht="15.75" customHeight="1">
      <c r="C212" s="9"/>
    </row>
    <row r="213" ht="15.75" customHeight="1">
      <c r="C213" s="9"/>
    </row>
    <row r="214" ht="15.75" customHeight="1">
      <c r="C214" s="9"/>
    </row>
    <row r="215" ht="15.75" customHeight="1">
      <c r="C215" s="9"/>
    </row>
    <row r="216" ht="15.75" customHeight="1">
      <c r="C216" s="9"/>
    </row>
    <row r="217" ht="15.75" customHeight="1">
      <c r="C217" s="9"/>
    </row>
    <row r="218" ht="15.75" customHeight="1">
      <c r="C218" s="9"/>
    </row>
    <row r="219" ht="15.75" customHeight="1">
      <c r="C219" s="9"/>
    </row>
    <row r="220" ht="15.75" customHeight="1">
      <c r="C220" s="9"/>
    </row>
    <row r="221" ht="15.75" customHeight="1">
      <c r="C221" s="9"/>
    </row>
    <row r="222" ht="15.75" customHeight="1">
      <c r="C222" s="9"/>
    </row>
    <row r="223" ht="15.75" customHeight="1">
      <c r="C223" s="9"/>
    </row>
    <row r="224" ht="15.75" customHeight="1">
      <c r="C224" s="9"/>
    </row>
    <row r="225" ht="15.75" customHeight="1">
      <c r="C225" s="9"/>
    </row>
    <row r="226" ht="15.75" customHeight="1">
      <c r="C226" s="9"/>
    </row>
    <row r="227" ht="15.75" customHeight="1">
      <c r="C227" s="9"/>
    </row>
    <row r="228" ht="15.75" customHeight="1">
      <c r="C228" s="9"/>
    </row>
    <row r="229" ht="15.75" customHeight="1">
      <c r="C229" s="9"/>
    </row>
    <row r="230" ht="15.75" customHeight="1">
      <c r="C230" s="9"/>
    </row>
    <row r="231" ht="15.75" customHeight="1">
      <c r="C231" s="9"/>
    </row>
    <row r="232" ht="15.75" customHeight="1">
      <c r="C232" s="9"/>
    </row>
    <row r="233" ht="15.75" customHeight="1">
      <c r="C233" s="9"/>
    </row>
    <row r="234" ht="15.75" customHeight="1">
      <c r="C234" s="9"/>
    </row>
    <row r="235" ht="15.75" customHeight="1">
      <c r="C235" s="9"/>
    </row>
    <row r="236" ht="15.75" customHeight="1">
      <c r="C236" s="9"/>
    </row>
    <row r="237" ht="15.75" customHeight="1">
      <c r="C237" s="9"/>
    </row>
    <row r="238" ht="15.75" customHeight="1">
      <c r="C238" s="9"/>
    </row>
    <row r="239" ht="15.75" customHeight="1">
      <c r="C239" s="9"/>
    </row>
    <row r="240" ht="15.75" customHeight="1">
      <c r="C240" s="9"/>
    </row>
    <row r="241" ht="15.75" customHeight="1">
      <c r="C241" s="9"/>
    </row>
    <row r="242" ht="15.75" customHeight="1">
      <c r="C242" s="9"/>
    </row>
    <row r="243" ht="15.75" customHeight="1">
      <c r="C243" s="9"/>
    </row>
    <row r="244" ht="15.75" customHeight="1">
      <c r="C244" s="9"/>
    </row>
    <row r="245" ht="15.75" customHeight="1">
      <c r="C245" s="9"/>
    </row>
    <row r="246" ht="15.75" customHeight="1">
      <c r="C246" s="9"/>
    </row>
    <row r="247" ht="15.75" customHeight="1">
      <c r="C247" s="9"/>
    </row>
    <row r="248" ht="15.75" customHeight="1">
      <c r="C248" s="9"/>
    </row>
    <row r="249" ht="15.75" customHeight="1">
      <c r="C249" s="9"/>
    </row>
    <row r="250" ht="15.75" customHeight="1">
      <c r="C250" s="9"/>
    </row>
    <row r="251" ht="15.75" customHeight="1">
      <c r="C251" s="9"/>
    </row>
    <row r="252" ht="15.75" customHeight="1">
      <c r="C252" s="9"/>
    </row>
    <row r="253" ht="15.75" customHeight="1">
      <c r="C253" s="9"/>
    </row>
    <row r="254" ht="15.75" customHeight="1">
      <c r="C254" s="9"/>
    </row>
    <row r="255" ht="15.75" customHeight="1">
      <c r="C255" s="9"/>
    </row>
    <row r="256" ht="15.75" customHeight="1">
      <c r="C256" s="9"/>
    </row>
    <row r="257" ht="15.75" customHeight="1">
      <c r="C257" s="9"/>
    </row>
    <row r="258" ht="15.75" customHeight="1">
      <c r="C258" s="9"/>
    </row>
    <row r="259" ht="15.75" customHeight="1">
      <c r="C259" s="9"/>
    </row>
    <row r="260" ht="15.75" customHeight="1">
      <c r="C260" s="9"/>
    </row>
    <row r="261" ht="15.75" customHeight="1">
      <c r="C261" s="9"/>
    </row>
    <row r="262" ht="15.75" customHeight="1">
      <c r="C262" s="9"/>
    </row>
    <row r="263" ht="15.75" customHeight="1">
      <c r="C263" s="9"/>
    </row>
    <row r="264" ht="15.75" customHeight="1">
      <c r="C264" s="9"/>
    </row>
    <row r="265" ht="15.75" customHeight="1">
      <c r="C265" s="9"/>
    </row>
    <row r="266" ht="15.75" customHeight="1">
      <c r="C266" s="9"/>
    </row>
    <row r="267" ht="15.75" customHeight="1">
      <c r="C267" s="9"/>
    </row>
    <row r="268" ht="15.75" customHeight="1">
      <c r="C268" s="9"/>
    </row>
    <row r="269" ht="15.75" customHeight="1">
      <c r="C269" s="9"/>
    </row>
    <row r="270" ht="15.75" customHeight="1">
      <c r="C270" s="9"/>
    </row>
    <row r="271" ht="15.75" customHeight="1">
      <c r="C271" s="9"/>
    </row>
    <row r="272" ht="15.75" customHeight="1">
      <c r="C272" s="9"/>
    </row>
    <row r="273" ht="15.75" customHeight="1">
      <c r="C273" s="9"/>
    </row>
    <row r="274" ht="15.75" customHeight="1">
      <c r="C274" s="9"/>
    </row>
    <row r="275" ht="15.75" customHeight="1">
      <c r="C275" s="9"/>
    </row>
    <row r="276" ht="15.75" customHeight="1">
      <c r="C276" s="9"/>
    </row>
    <row r="277" ht="15.75" customHeight="1">
      <c r="C277" s="9"/>
    </row>
    <row r="278" ht="15.75" customHeight="1">
      <c r="C278" s="9"/>
    </row>
    <row r="279" ht="15.75" customHeight="1">
      <c r="C279" s="9"/>
    </row>
    <row r="280" ht="15.75" customHeight="1">
      <c r="C280" s="9"/>
    </row>
    <row r="281" ht="15.75" customHeight="1">
      <c r="C281" s="9"/>
    </row>
    <row r="282" ht="15.75" customHeight="1">
      <c r="C282" s="9"/>
    </row>
    <row r="283" ht="15.75" customHeight="1">
      <c r="C283" s="9"/>
    </row>
    <row r="284" ht="15.75" customHeight="1">
      <c r="C284" s="9"/>
    </row>
    <row r="285" ht="15.75" customHeight="1">
      <c r="C285" s="9"/>
    </row>
    <row r="286" ht="15.75" customHeight="1">
      <c r="C286" s="9"/>
    </row>
    <row r="287" ht="15.75" customHeight="1">
      <c r="C287" s="9"/>
    </row>
    <row r="288" ht="15.75" customHeight="1">
      <c r="C288" s="9"/>
    </row>
    <row r="289" ht="15.75" customHeight="1">
      <c r="C289" s="9"/>
    </row>
    <row r="290" ht="15.75" customHeight="1">
      <c r="C290" s="9"/>
    </row>
    <row r="291" ht="15.75" customHeight="1">
      <c r="C291" s="9"/>
    </row>
    <row r="292" ht="15.75" customHeight="1">
      <c r="C292" s="9"/>
    </row>
    <row r="293" ht="15.75" customHeight="1">
      <c r="C293" s="9"/>
    </row>
    <row r="294" ht="15.75" customHeight="1">
      <c r="C294" s="9"/>
    </row>
    <row r="295" ht="15.75" customHeight="1">
      <c r="C295" s="9"/>
    </row>
    <row r="296" ht="15.75" customHeight="1">
      <c r="C296" s="9"/>
    </row>
    <row r="297" ht="15.75" customHeight="1">
      <c r="C297" s="9"/>
    </row>
    <row r="298" ht="15.75" customHeight="1">
      <c r="C298" s="9"/>
    </row>
    <row r="299" ht="15.75" customHeight="1">
      <c r="C299" s="9"/>
    </row>
    <row r="300" ht="15.75" customHeight="1">
      <c r="C300" s="9"/>
    </row>
    <row r="301" ht="15.75" customHeight="1">
      <c r="C301" s="9"/>
    </row>
    <row r="302" ht="15.75" customHeight="1">
      <c r="C302" s="9"/>
    </row>
    <row r="303" ht="15.75" customHeight="1">
      <c r="C303" s="9"/>
    </row>
    <row r="304" ht="15.75" customHeight="1">
      <c r="C304" s="9"/>
    </row>
    <row r="305" ht="15.75" customHeight="1">
      <c r="C305" s="9"/>
    </row>
    <row r="306" ht="15.75" customHeight="1">
      <c r="C306" s="9"/>
    </row>
    <row r="307" ht="15.75" customHeight="1">
      <c r="C307" s="9"/>
    </row>
    <row r="308" ht="15.75" customHeight="1">
      <c r="C308" s="9"/>
    </row>
    <row r="309" ht="15.75" customHeight="1">
      <c r="C309" s="9"/>
    </row>
    <row r="310" ht="15.75" customHeight="1">
      <c r="C310" s="9"/>
    </row>
    <row r="311" ht="15.75" customHeight="1">
      <c r="C311" s="9"/>
    </row>
    <row r="312" ht="15.75" customHeight="1">
      <c r="C312" s="9"/>
    </row>
    <row r="313" ht="15.75" customHeight="1">
      <c r="C313" s="9"/>
    </row>
    <row r="314" ht="15.75" customHeight="1">
      <c r="C314" s="9"/>
    </row>
    <row r="315" ht="15.75" customHeight="1">
      <c r="C315" s="9"/>
    </row>
    <row r="316" ht="15.75" customHeight="1">
      <c r="C316" s="9"/>
    </row>
    <row r="317" ht="15.75" customHeight="1">
      <c r="C317" s="9"/>
    </row>
    <row r="318" ht="15.75" customHeight="1">
      <c r="C318" s="9"/>
    </row>
    <row r="319" ht="15.75" customHeight="1">
      <c r="C319" s="9"/>
    </row>
    <row r="320" ht="15.75" customHeight="1">
      <c r="C320" s="9"/>
    </row>
    <row r="321" ht="15.75" customHeight="1">
      <c r="C321" s="9"/>
    </row>
    <row r="322" ht="15.75" customHeight="1">
      <c r="C322" s="9"/>
    </row>
    <row r="323" ht="15.75" customHeight="1">
      <c r="C323" s="9"/>
    </row>
    <row r="324" ht="15.75" customHeight="1">
      <c r="C324" s="9"/>
    </row>
    <row r="325" ht="15.75" customHeight="1">
      <c r="C325" s="9"/>
    </row>
    <row r="326" ht="15.75" customHeight="1">
      <c r="C326" s="9"/>
    </row>
    <row r="327" ht="15.75" customHeight="1">
      <c r="C327" s="9"/>
    </row>
    <row r="328" ht="15.75" customHeight="1">
      <c r="C328" s="9"/>
    </row>
    <row r="329" ht="15.75" customHeight="1">
      <c r="C329" s="9"/>
    </row>
    <row r="330" ht="15.75" customHeight="1">
      <c r="C330" s="9"/>
    </row>
    <row r="331" ht="15.75" customHeight="1">
      <c r="C331" s="9"/>
    </row>
    <row r="332" ht="15.75" customHeight="1">
      <c r="C332" s="9"/>
    </row>
    <row r="333" ht="15.75" customHeight="1">
      <c r="C333" s="9"/>
    </row>
    <row r="334" ht="15.75" customHeight="1">
      <c r="C334" s="9"/>
    </row>
    <row r="335" ht="15.75" customHeight="1">
      <c r="C335" s="9"/>
    </row>
    <row r="336" ht="15.75" customHeight="1">
      <c r="C336" s="9"/>
    </row>
    <row r="337" ht="15.75" customHeight="1">
      <c r="C337" s="9"/>
    </row>
    <row r="338" ht="15.75" customHeight="1">
      <c r="C338" s="9"/>
    </row>
    <row r="339" ht="15.75" customHeight="1">
      <c r="C339" s="9"/>
    </row>
    <row r="340" ht="15.75" customHeight="1">
      <c r="C340" s="9"/>
    </row>
    <row r="341" ht="15.75" customHeight="1">
      <c r="C341" s="9"/>
    </row>
    <row r="342" ht="15.75" customHeight="1">
      <c r="C342" s="9"/>
    </row>
    <row r="343" ht="15.75" customHeight="1">
      <c r="C343" s="9"/>
    </row>
    <row r="344" ht="15.75" customHeight="1">
      <c r="C344" s="9"/>
    </row>
    <row r="345" ht="15.75" customHeight="1">
      <c r="C345" s="9"/>
    </row>
    <row r="346" ht="15.75" customHeight="1">
      <c r="C346" s="9"/>
    </row>
    <row r="347" ht="15.75" customHeight="1">
      <c r="C347" s="9"/>
    </row>
    <row r="348" ht="15.75" customHeight="1">
      <c r="C348" s="9"/>
    </row>
    <row r="349" ht="15.75" customHeight="1">
      <c r="C349" s="9"/>
    </row>
    <row r="350" ht="15.75" customHeight="1">
      <c r="C350" s="9"/>
    </row>
    <row r="351" ht="15.75" customHeight="1">
      <c r="C351" s="9"/>
    </row>
    <row r="352" ht="15.75" customHeight="1">
      <c r="C352" s="9"/>
    </row>
    <row r="353" ht="15.75" customHeight="1">
      <c r="C353" s="9"/>
    </row>
    <row r="354" ht="15.75" customHeight="1">
      <c r="C354" s="9"/>
    </row>
    <row r="355" ht="15.75" customHeight="1">
      <c r="C355" s="9"/>
    </row>
    <row r="356" ht="15.75" customHeight="1">
      <c r="C356" s="9"/>
    </row>
    <row r="357" ht="15.75" customHeight="1">
      <c r="C357" s="9"/>
    </row>
    <row r="358" ht="15.75" customHeight="1">
      <c r="C358" s="9"/>
    </row>
    <row r="359" ht="15.75" customHeight="1">
      <c r="C359" s="9"/>
    </row>
    <row r="360" ht="15.75" customHeight="1">
      <c r="C360" s="9"/>
    </row>
    <row r="361" ht="15.75" customHeight="1">
      <c r="C361" s="9"/>
    </row>
    <row r="362" ht="15.75" customHeight="1">
      <c r="C362" s="9"/>
    </row>
    <row r="363" ht="15.75" customHeight="1">
      <c r="C363" s="9"/>
    </row>
    <row r="364" ht="15.75" customHeight="1">
      <c r="C364" s="9"/>
    </row>
    <row r="365" ht="15.75" customHeight="1">
      <c r="C365" s="9"/>
    </row>
    <row r="366" ht="15.75" customHeight="1">
      <c r="C366" s="9"/>
    </row>
    <row r="367" ht="15.75" customHeight="1">
      <c r="C367" s="9"/>
    </row>
    <row r="368" ht="15.75" customHeight="1">
      <c r="C368" s="9"/>
    </row>
    <row r="369" ht="15.75" customHeight="1">
      <c r="C369" s="9"/>
    </row>
    <row r="370" ht="15.75" customHeight="1">
      <c r="C370" s="9"/>
    </row>
    <row r="371" ht="15.75" customHeight="1">
      <c r="C371" s="9"/>
    </row>
    <row r="372" ht="15.75" customHeight="1">
      <c r="C372" s="9"/>
    </row>
    <row r="373" ht="15.75" customHeight="1">
      <c r="C373" s="9"/>
    </row>
    <row r="374" ht="15.75" customHeight="1">
      <c r="C374" s="9"/>
    </row>
    <row r="375" ht="15.75" customHeight="1">
      <c r="C375" s="9"/>
    </row>
    <row r="376" ht="15.75" customHeight="1">
      <c r="C376" s="9"/>
    </row>
    <row r="377" ht="15.75" customHeight="1">
      <c r="C377" s="9"/>
    </row>
    <row r="378" ht="15.75" customHeight="1">
      <c r="C378" s="9"/>
    </row>
    <row r="379" ht="15.75" customHeight="1">
      <c r="C379" s="9"/>
    </row>
    <row r="380" ht="15.75" customHeight="1">
      <c r="C380" s="9"/>
    </row>
    <row r="381" ht="15.75" customHeight="1">
      <c r="C381" s="9"/>
    </row>
    <row r="382" ht="15.75" customHeight="1">
      <c r="C382" s="9"/>
    </row>
    <row r="383" ht="15.75" customHeight="1">
      <c r="C383" s="9"/>
    </row>
    <row r="384" ht="15.75" customHeight="1">
      <c r="C384" s="9"/>
    </row>
    <row r="385" ht="15.75" customHeight="1">
      <c r="C385" s="9"/>
    </row>
    <row r="386" ht="15.75" customHeight="1">
      <c r="C386" s="9"/>
    </row>
    <row r="387" ht="15.75" customHeight="1">
      <c r="C387" s="9"/>
    </row>
    <row r="388" ht="15.75" customHeight="1">
      <c r="C388" s="9"/>
    </row>
    <row r="389" ht="15.75" customHeight="1">
      <c r="C389" s="9"/>
    </row>
    <row r="390" ht="15.75" customHeight="1">
      <c r="C390" s="9"/>
    </row>
    <row r="391" ht="15.75" customHeight="1">
      <c r="C391" s="9"/>
    </row>
    <row r="392" ht="15.75" customHeight="1">
      <c r="C392" s="9"/>
    </row>
    <row r="393" ht="15.75" customHeight="1">
      <c r="C393" s="9"/>
    </row>
    <row r="394" ht="15.75" customHeight="1">
      <c r="C394" s="9"/>
    </row>
    <row r="395" ht="15.75" customHeight="1">
      <c r="C395" s="9"/>
    </row>
    <row r="396" ht="15.75" customHeight="1">
      <c r="C396" s="9"/>
    </row>
    <row r="397" ht="15.75" customHeight="1">
      <c r="C397" s="9"/>
    </row>
    <row r="398" ht="15.75" customHeight="1">
      <c r="C398" s="9"/>
    </row>
    <row r="399" ht="15.75" customHeight="1">
      <c r="C399" s="9"/>
    </row>
    <row r="400" ht="15.75" customHeight="1">
      <c r="C400" s="9"/>
    </row>
    <row r="401" ht="15.75" customHeight="1">
      <c r="C401" s="9"/>
    </row>
    <row r="402" ht="15.75" customHeight="1">
      <c r="C402" s="9"/>
    </row>
    <row r="403" ht="15.75" customHeight="1">
      <c r="C403" s="9"/>
    </row>
    <row r="404" ht="15.75" customHeight="1">
      <c r="C404" s="9"/>
    </row>
    <row r="405" ht="15.75" customHeight="1">
      <c r="C405" s="9"/>
    </row>
    <row r="406" ht="15.75" customHeight="1">
      <c r="C406" s="9"/>
    </row>
    <row r="407" ht="15.75" customHeight="1">
      <c r="C407" s="9"/>
    </row>
    <row r="408" ht="15.75" customHeight="1">
      <c r="C408" s="9"/>
    </row>
    <row r="409" ht="15.75" customHeight="1">
      <c r="C409" s="9"/>
    </row>
    <row r="410" ht="15.75" customHeight="1">
      <c r="C410" s="9"/>
    </row>
    <row r="411" ht="15.75" customHeight="1">
      <c r="C411" s="9"/>
    </row>
    <row r="412" ht="15.75" customHeight="1">
      <c r="C412" s="9"/>
    </row>
    <row r="413" ht="15.75" customHeight="1">
      <c r="C413" s="9"/>
    </row>
    <row r="414" ht="15.75" customHeight="1">
      <c r="C414" s="9"/>
    </row>
    <row r="415" ht="15.75" customHeight="1">
      <c r="C415" s="9"/>
    </row>
    <row r="416" ht="15.75" customHeight="1">
      <c r="C416" s="9"/>
    </row>
    <row r="417" ht="15.75" customHeight="1">
      <c r="C417" s="9"/>
    </row>
    <row r="418" ht="15.75" customHeight="1">
      <c r="C418" s="9"/>
    </row>
    <row r="419" ht="15.75" customHeight="1">
      <c r="C419" s="9"/>
    </row>
    <row r="420" ht="15.75" customHeight="1">
      <c r="C420" s="9"/>
    </row>
    <row r="421" ht="15.75" customHeight="1">
      <c r="C421" s="9"/>
    </row>
    <row r="422" ht="15.75" customHeight="1">
      <c r="C422" s="9"/>
    </row>
    <row r="423" ht="15.75" customHeight="1">
      <c r="C423" s="9"/>
    </row>
    <row r="424" ht="15.75" customHeight="1">
      <c r="C424" s="9"/>
    </row>
    <row r="425" ht="15.75" customHeight="1">
      <c r="C425" s="9"/>
    </row>
    <row r="426" ht="15.75" customHeight="1">
      <c r="C426" s="9"/>
    </row>
    <row r="427" ht="15.75" customHeight="1">
      <c r="C427" s="9"/>
    </row>
    <row r="428" ht="15.75" customHeight="1">
      <c r="C428" s="9"/>
    </row>
    <row r="429" ht="15.75" customHeight="1">
      <c r="C429" s="9"/>
    </row>
    <row r="430" ht="15.75" customHeight="1">
      <c r="C430" s="9"/>
    </row>
    <row r="431" ht="15.75" customHeight="1">
      <c r="C431" s="9"/>
    </row>
    <row r="432" ht="15.75" customHeight="1">
      <c r="C432" s="9"/>
    </row>
    <row r="433" ht="15.75" customHeight="1">
      <c r="C433" s="9"/>
    </row>
    <row r="434" ht="15.75" customHeight="1">
      <c r="C434" s="9"/>
    </row>
    <row r="435" ht="15.75" customHeight="1">
      <c r="C435" s="9"/>
    </row>
    <row r="436" ht="15.75" customHeight="1">
      <c r="C436" s="9"/>
    </row>
    <row r="437" ht="15.75" customHeight="1">
      <c r="C437" s="9"/>
    </row>
    <row r="438" ht="15.75" customHeight="1">
      <c r="C438" s="9"/>
    </row>
    <row r="439" ht="15.75" customHeight="1">
      <c r="C439" s="9"/>
    </row>
    <row r="440" ht="15.75" customHeight="1">
      <c r="C440" s="9"/>
    </row>
    <row r="441" ht="15.75" customHeight="1">
      <c r="C441" s="9"/>
    </row>
    <row r="442" ht="15.75" customHeight="1">
      <c r="C442" s="9"/>
    </row>
    <row r="443" ht="15.75" customHeight="1">
      <c r="C443" s="9"/>
    </row>
    <row r="444" ht="15.75" customHeight="1">
      <c r="C444" s="9"/>
    </row>
    <row r="445" ht="15.75" customHeight="1">
      <c r="C445" s="9"/>
    </row>
    <row r="446" ht="15.75" customHeight="1">
      <c r="C446" s="9"/>
    </row>
    <row r="447" ht="15.75" customHeight="1">
      <c r="C447" s="9"/>
    </row>
    <row r="448" ht="15.75" customHeight="1">
      <c r="C448" s="9"/>
    </row>
    <row r="449" ht="15.75" customHeight="1">
      <c r="C449" s="9"/>
    </row>
    <row r="450" ht="15.75" customHeight="1">
      <c r="C450" s="9"/>
    </row>
    <row r="451" ht="15.75" customHeight="1">
      <c r="C451" s="9"/>
    </row>
    <row r="452" ht="15.75" customHeight="1">
      <c r="C452" s="9"/>
    </row>
    <row r="453" ht="15.75" customHeight="1">
      <c r="C453" s="9"/>
    </row>
    <row r="454" ht="15.75" customHeight="1">
      <c r="C454" s="9"/>
    </row>
    <row r="455" ht="15.75" customHeight="1">
      <c r="C455" s="9"/>
    </row>
    <row r="456" ht="15.75" customHeight="1">
      <c r="C456" s="9"/>
    </row>
    <row r="457" ht="15.75" customHeight="1">
      <c r="C457" s="9"/>
    </row>
    <row r="458" ht="15.75" customHeight="1">
      <c r="C458" s="9"/>
    </row>
    <row r="459" ht="15.75" customHeight="1">
      <c r="C459" s="9"/>
    </row>
    <row r="460" ht="15.75" customHeight="1">
      <c r="C460" s="9"/>
    </row>
    <row r="461" ht="15.75" customHeight="1">
      <c r="C461" s="9"/>
    </row>
    <row r="462" ht="15.75" customHeight="1">
      <c r="C462" s="9"/>
    </row>
    <row r="463" ht="15.75" customHeight="1">
      <c r="C463" s="9"/>
    </row>
    <row r="464" ht="15.75" customHeight="1">
      <c r="C464" s="9"/>
    </row>
    <row r="465" ht="15.75" customHeight="1">
      <c r="C465" s="9"/>
    </row>
    <row r="466" ht="15.75" customHeight="1">
      <c r="C466" s="9"/>
    </row>
    <row r="467" ht="15.75" customHeight="1">
      <c r="C467" s="9"/>
    </row>
    <row r="468" ht="15.75" customHeight="1">
      <c r="C468" s="9"/>
    </row>
    <row r="469" ht="15.75" customHeight="1">
      <c r="C469" s="9"/>
    </row>
    <row r="470" ht="15.75" customHeight="1">
      <c r="C470" s="9"/>
    </row>
    <row r="471" ht="15.75" customHeight="1">
      <c r="C471" s="9"/>
    </row>
    <row r="472" ht="15.75" customHeight="1">
      <c r="C472" s="9"/>
    </row>
    <row r="473" ht="15.75" customHeight="1">
      <c r="C473" s="9"/>
    </row>
    <row r="474" ht="15.75" customHeight="1">
      <c r="C474" s="9"/>
    </row>
    <row r="475" ht="15.75" customHeight="1">
      <c r="C475" s="9"/>
    </row>
    <row r="476" ht="15.75" customHeight="1">
      <c r="C476" s="9"/>
    </row>
    <row r="477" ht="15.75" customHeight="1">
      <c r="C477" s="9"/>
    </row>
    <row r="478" ht="15.75" customHeight="1">
      <c r="C478" s="9"/>
    </row>
    <row r="479" ht="15.75" customHeight="1">
      <c r="C479" s="9"/>
    </row>
    <row r="480" ht="15.75" customHeight="1">
      <c r="C480" s="9"/>
    </row>
    <row r="481" ht="15.75" customHeight="1">
      <c r="C481" s="9"/>
    </row>
    <row r="482" ht="15.75" customHeight="1">
      <c r="C482" s="9"/>
    </row>
    <row r="483" ht="15.75" customHeight="1">
      <c r="C483" s="9"/>
    </row>
    <row r="484" ht="15.75" customHeight="1">
      <c r="C484" s="9"/>
    </row>
    <row r="485" ht="15.75" customHeight="1">
      <c r="C485" s="9"/>
    </row>
    <row r="486" ht="15.75" customHeight="1">
      <c r="C486" s="9"/>
    </row>
    <row r="487" ht="15.75" customHeight="1">
      <c r="C487" s="9"/>
    </row>
    <row r="488" ht="15.75" customHeight="1">
      <c r="C488" s="9"/>
    </row>
    <row r="489" ht="15.75" customHeight="1">
      <c r="C489" s="9"/>
    </row>
    <row r="490" ht="15.75" customHeight="1">
      <c r="C490" s="9"/>
    </row>
    <row r="491" ht="15.75" customHeight="1">
      <c r="C491" s="9"/>
    </row>
    <row r="492" ht="15.75" customHeight="1">
      <c r="C492" s="9"/>
    </row>
    <row r="493" ht="15.75" customHeight="1">
      <c r="C493" s="9"/>
    </row>
    <row r="494" ht="15.75" customHeight="1">
      <c r="C494" s="9"/>
    </row>
    <row r="495" ht="15.75" customHeight="1">
      <c r="C495" s="9"/>
    </row>
    <row r="496" ht="15.75" customHeight="1">
      <c r="C496" s="9"/>
    </row>
    <row r="497" ht="15.75" customHeight="1">
      <c r="C497" s="9"/>
    </row>
    <row r="498" ht="15.75" customHeight="1">
      <c r="C498" s="9"/>
    </row>
    <row r="499" ht="15.75" customHeight="1">
      <c r="C499" s="9"/>
    </row>
    <row r="500" ht="15.75" customHeight="1">
      <c r="C500" s="9"/>
    </row>
    <row r="501" ht="15.75" customHeight="1">
      <c r="C501" s="9"/>
    </row>
    <row r="502" ht="15.75" customHeight="1">
      <c r="C502" s="9"/>
    </row>
    <row r="503" ht="15.75" customHeight="1">
      <c r="C503" s="9"/>
    </row>
    <row r="504" ht="15.75" customHeight="1">
      <c r="C504" s="9"/>
    </row>
    <row r="505" ht="15.75" customHeight="1">
      <c r="C505" s="9"/>
    </row>
    <row r="506" ht="15.75" customHeight="1">
      <c r="C506" s="9"/>
    </row>
    <row r="507" ht="15.75" customHeight="1">
      <c r="C507" s="9"/>
    </row>
    <row r="508" ht="15.75" customHeight="1">
      <c r="C508" s="9"/>
    </row>
    <row r="509" ht="15.75" customHeight="1">
      <c r="C509" s="9"/>
    </row>
    <row r="510" ht="15.75" customHeight="1">
      <c r="C510" s="9"/>
    </row>
    <row r="511" ht="15.75" customHeight="1">
      <c r="C511" s="9"/>
    </row>
    <row r="512" ht="15.75" customHeight="1">
      <c r="C512" s="9"/>
    </row>
    <row r="513" ht="15.75" customHeight="1">
      <c r="C513" s="9"/>
    </row>
    <row r="514" ht="15.75" customHeight="1">
      <c r="C514" s="9"/>
    </row>
    <row r="515" ht="15.75" customHeight="1">
      <c r="C515" s="9"/>
    </row>
    <row r="516" ht="15.75" customHeight="1">
      <c r="C516" s="9"/>
    </row>
    <row r="517" ht="15.75" customHeight="1">
      <c r="C517" s="9"/>
    </row>
    <row r="518" ht="15.75" customHeight="1">
      <c r="C518" s="9"/>
    </row>
    <row r="519" ht="15.75" customHeight="1">
      <c r="C519" s="9"/>
    </row>
    <row r="520" ht="15.75" customHeight="1">
      <c r="C520" s="9"/>
    </row>
    <row r="521" ht="15.75" customHeight="1">
      <c r="C521" s="9"/>
    </row>
    <row r="522" ht="15.75" customHeight="1">
      <c r="C522" s="9"/>
    </row>
    <row r="523" ht="15.75" customHeight="1">
      <c r="C523" s="9"/>
    </row>
    <row r="524" ht="15.75" customHeight="1">
      <c r="C524" s="9"/>
    </row>
    <row r="525" ht="15.75" customHeight="1">
      <c r="C525" s="9"/>
    </row>
    <row r="526" ht="15.75" customHeight="1">
      <c r="C526" s="9"/>
    </row>
    <row r="527" ht="15.75" customHeight="1">
      <c r="C527" s="9"/>
    </row>
    <row r="528" ht="15.75" customHeight="1">
      <c r="C528" s="9"/>
    </row>
    <row r="529" ht="15.75" customHeight="1">
      <c r="C529" s="9"/>
    </row>
    <row r="530" ht="15.75" customHeight="1">
      <c r="C530" s="9"/>
    </row>
    <row r="531" ht="15.75" customHeight="1">
      <c r="C531" s="9"/>
    </row>
    <row r="532" ht="15.75" customHeight="1">
      <c r="C532" s="9"/>
    </row>
    <row r="533" ht="15.75" customHeight="1">
      <c r="C533" s="9"/>
    </row>
    <row r="534" ht="15.75" customHeight="1">
      <c r="C534" s="9"/>
    </row>
    <row r="535" ht="15.75" customHeight="1">
      <c r="C535" s="9"/>
    </row>
    <row r="536" ht="15.75" customHeight="1">
      <c r="C536" s="9"/>
    </row>
    <row r="537" ht="15.75" customHeight="1">
      <c r="C537" s="9"/>
    </row>
    <row r="538" ht="15.75" customHeight="1">
      <c r="C538" s="9"/>
    </row>
    <row r="539" ht="15.75" customHeight="1">
      <c r="C539" s="9"/>
    </row>
    <row r="540" ht="15.75" customHeight="1">
      <c r="C540" s="9"/>
    </row>
    <row r="541" ht="15.75" customHeight="1">
      <c r="C541" s="9"/>
    </row>
    <row r="542" ht="15.75" customHeight="1">
      <c r="C542" s="9"/>
    </row>
    <row r="543" ht="15.75" customHeight="1">
      <c r="C543" s="9"/>
    </row>
    <row r="544" ht="15.75" customHeight="1">
      <c r="C544" s="9"/>
    </row>
    <row r="545" ht="15.75" customHeight="1">
      <c r="C545" s="9"/>
    </row>
    <row r="546" ht="15.75" customHeight="1">
      <c r="C546" s="9"/>
    </row>
    <row r="547" ht="15.75" customHeight="1">
      <c r="C547" s="9"/>
    </row>
    <row r="548" ht="15.75" customHeight="1">
      <c r="C548" s="9"/>
    </row>
    <row r="549" ht="15.75" customHeight="1">
      <c r="C549" s="9"/>
    </row>
    <row r="550" ht="15.75" customHeight="1">
      <c r="C550" s="9"/>
    </row>
    <row r="551" ht="15.75" customHeight="1">
      <c r="C551" s="9"/>
    </row>
    <row r="552" ht="15.75" customHeight="1">
      <c r="C552" s="9"/>
    </row>
    <row r="553" ht="15.75" customHeight="1">
      <c r="C553" s="9"/>
    </row>
    <row r="554" ht="15.75" customHeight="1">
      <c r="C554" s="9"/>
    </row>
    <row r="555" ht="15.75" customHeight="1">
      <c r="C555" s="9"/>
    </row>
    <row r="556" ht="15.75" customHeight="1">
      <c r="C556" s="9"/>
    </row>
    <row r="557" ht="15.75" customHeight="1">
      <c r="C557" s="9"/>
    </row>
    <row r="558" ht="15.75" customHeight="1">
      <c r="C558" s="9"/>
    </row>
    <row r="559" ht="15.75" customHeight="1">
      <c r="C559" s="9"/>
    </row>
    <row r="560" ht="15.75" customHeight="1">
      <c r="C560" s="9"/>
    </row>
    <row r="561" ht="15.75" customHeight="1">
      <c r="C561" s="9"/>
    </row>
    <row r="562" ht="15.75" customHeight="1">
      <c r="C562" s="9"/>
    </row>
    <row r="563" ht="15.75" customHeight="1">
      <c r="C563" s="9"/>
    </row>
    <row r="564" ht="15.75" customHeight="1">
      <c r="C564" s="9"/>
    </row>
    <row r="565" ht="15.75" customHeight="1">
      <c r="C565" s="9"/>
    </row>
    <row r="566" ht="15.75" customHeight="1">
      <c r="C566" s="9"/>
    </row>
    <row r="567" ht="15.75" customHeight="1">
      <c r="C567" s="9"/>
    </row>
    <row r="568" ht="15.75" customHeight="1">
      <c r="C568" s="9"/>
    </row>
    <row r="569" ht="15.75" customHeight="1">
      <c r="C569" s="9"/>
    </row>
    <row r="570" ht="15.75" customHeight="1">
      <c r="C570" s="9"/>
    </row>
    <row r="571" ht="15.75" customHeight="1">
      <c r="C571" s="9"/>
    </row>
    <row r="572" ht="15.75" customHeight="1">
      <c r="C572" s="9"/>
    </row>
    <row r="573" ht="15.75" customHeight="1">
      <c r="C573" s="9"/>
    </row>
    <row r="574" ht="15.75" customHeight="1">
      <c r="C574" s="9"/>
    </row>
    <row r="575" ht="15.75" customHeight="1">
      <c r="C575" s="9"/>
    </row>
    <row r="576" ht="15.75" customHeight="1">
      <c r="C576" s="9"/>
    </row>
    <row r="577" ht="15.75" customHeight="1">
      <c r="C577" s="9"/>
    </row>
    <row r="578" ht="15.75" customHeight="1">
      <c r="C578" s="9"/>
    </row>
    <row r="579" ht="15.75" customHeight="1">
      <c r="C579" s="9"/>
    </row>
    <row r="580" ht="15.75" customHeight="1">
      <c r="C580" s="9"/>
    </row>
    <row r="581" ht="15.75" customHeight="1">
      <c r="C581" s="9"/>
    </row>
    <row r="582" ht="15.75" customHeight="1">
      <c r="C582" s="9"/>
    </row>
    <row r="583" ht="15.75" customHeight="1">
      <c r="C583" s="9"/>
    </row>
    <row r="584" ht="15.75" customHeight="1">
      <c r="C584" s="9"/>
    </row>
    <row r="585" ht="15.75" customHeight="1">
      <c r="C585" s="9"/>
    </row>
    <row r="586" ht="15.75" customHeight="1">
      <c r="C586" s="9"/>
    </row>
    <row r="587" ht="15.75" customHeight="1">
      <c r="C587" s="9"/>
    </row>
    <row r="588" ht="15.75" customHeight="1">
      <c r="C588" s="9"/>
    </row>
    <row r="589" ht="15.75" customHeight="1">
      <c r="C589" s="9"/>
    </row>
    <row r="590" ht="15.75" customHeight="1">
      <c r="C590" s="9"/>
    </row>
    <row r="591" ht="15.75" customHeight="1">
      <c r="C591" s="9"/>
    </row>
    <row r="592" ht="15.75" customHeight="1">
      <c r="C592" s="9"/>
    </row>
    <row r="593" ht="15.75" customHeight="1">
      <c r="C593" s="9"/>
    </row>
    <row r="594" ht="15.75" customHeight="1">
      <c r="C594" s="9"/>
    </row>
    <row r="595" ht="15.75" customHeight="1">
      <c r="C595" s="9"/>
    </row>
    <row r="596" ht="15.75" customHeight="1">
      <c r="C596" s="9"/>
    </row>
    <row r="597" ht="15.75" customHeight="1">
      <c r="C597" s="9"/>
    </row>
    <row r="598" ht="15.75" customHeight="1">
      <c r="C598" s="9"/>
    </row>
    <row r="599" ht="15.75" customHeight="1">
      <c r="C599" s="9"/>
    </row>
    <row r="600" ht="15.75" customHeight="1">
      <c r="C600" s="9"/>
    </row>
    <row r="601" ht="15.75" customHeight="1">
      <c r="C601" s="9"/>
    </row>
    <row r="602" ht="15.75" customHeight="1">
      <c r="C602" s="9"/>
    </row>
    <row r="603" ht="15.75" customHeight="1">
      <c r="C603" s="9"/>
    </row>
    <row r="604" ht="15.75" customHeight="1">
      <c r="C604" s="9"/>
    </row>
    <row r="605" ht="15.75" customHeight="1">
      <c r="C605" s="9"/>
    </row>
    <row r="606" ht="15.75" customHeight="1">
      <c r="C606" s="9"/>
    </row>
    <row r="607" ht="15.75" customHeight="1">
      <c r="C607" s="9"/>
    </row>
    <row r="608" ht="15.75" customHeight="1">
      <c r="C608" s="9"/>
    </row>
    <row r="609" ht="15.75" customHeight="1">
      <c r="C609" s="9"/>
    </row>
    <row r="610" ht="15.75" customHeight="1">
      <c r="C610" s="9"/>
    </row>
    <row r="611" ht="15.75" customHeight="1">
      <c r="C611" s="9"/>
    </row>
    <row r="612" ht="15.75" customHeight="1">
      <c r="C612" s="9"/>
    </row>
    <row r="613" ht="15.75" customHeight="1">
      <c r="C613" s="9"/>
    </row>
    <row r="614" ht="15.75" customHeight="1">
      <c r="C614" s="9"/>
    </row>
    <row r="615" ht="15.75" customHeight="1">
      <c r="C615" s="9"/>
    </row>
    <row r="616" ht="15.75" customHeight="1">
      <c r="C616" s="9"/>
    </row>
    <row r="617" ht="15.75" customHeight="1">
      <c r="C617" s="9"/>
    </row>
    <row r="618" ht="15.75" customHeight="1">
      <c r="C618" s="9"/>
    </row>
    <row r="619" ht="15.75" customHeight="1">
      <c r="C619" s="9"/>
    </row>
    <row r="620" ht="15.75" customHeight="1">
      <c r="C620" s="9"/>
    </row>
    <row r="621" ht="15.75" customHeight="1">
      <c r="C621" s="9"/>
    </row>
    <row r="622" ht="15.75" customHeight="1">
      <c r="C622" s="9"/>
    </row>
    <row r="623" ht="15.75" customHeight="1">
      <c r="C623" s="9"/>
    </row>
    <row r="624" ht="15.75" customHeight="1">
      <c r="C624" s="9"/>
    </row>
    <row r="625" ht="15.75" customHeight="1">
      <c r="C625" s="9"/>
    </row>
    <row r="626" ht="15.75" customHeight="1">
      <c r="C626" s="9"/>
    </row>
    <row r="627" ht="15.75" customHeight="1">
      <c r="C627" s="9"/>
    </row>
    <row r="628" ht="15.75" customHeight="1">
      <c r="C628" s="9"/>
    </row>
    <row r="629" ht="15.75" customHeight="1">
      <c r="C629" s="9"/>
    </row>
    <row r="630" ht="15.75" customHeight="1">
      <c r="C630" s="9"/>
    </row>
    <row r="631" ht="15.75" customHeight="1">
      <c r="C631" s="9"/>
    </row>
    <row r="632" ht="15.75" customHeight="1">
      <c r="C632" s="9"/>
    </row>
    <row r="633" ht="15.75" customHeight="1">
      <c r="C633" s="9"/>
    </row>
    <row r="634" ht="15.75" customHeight="1">
      <c r="C634" s="9"/>
    </row>
    <row r="635" ht="15.75" customHeight="1">
      <c r="C635" s="9"/>
    </row>
    <row r="636" ht="15.75" customHeight="1">
      <c r="C636" s="9"/>
    </row>
    <row r="637" ht="15.75" customHeight="1">
      <c r="C637" s="9"/>
    </row>
    <row r="638" ht="15.75" customHeight="1">
      <c r="C638" s="9"/>
    </row>
    <row r="639" ht="15.75" customHeight="1">
      <c r="C639" s="9"/>
    </row>
    <row r="640" ht="15.75" customHeight="1">
      <c r="C640" s="9"/>
    </row>
    <row r="641" ht="15.75" customHeight="1">
      <c r="C641" s="9"/>
    </row>
    <row r="642" ht="15.75" customHeight="1">
      <c r="C642" s="9"/>
    </row>
    <row r="643" ht="15.75" customHeight="1">
      <c r="C643" s="9"/>
    </row>
    <row r="644" ht="15.75" customHeight="1">
      <c r="C644" s="9"/>
    </row>
    <row r="645" ht="15.75" customHeight="1">
      <c r="C645" s="9"/>
    </row>
    <row r="646" ht="15.75" customHeight="1">
      <c r="C646" s="9"/>
    </row>
    <row r="647" ht="15.75" customHeight="1">
      <c r="C647" s="9"/>
    </row>
    <row r="648" ht="15.75" customHeight="1">
      <c r="C648" s="9"/>
    </row>
    <row r="649" ht="15.75" customHeight="1">
      <c r="C649" s="9"/>
    </row>
    <row r="650" ht="15.75" customHeight="1">
      <c r="C650" s="9"/>
    </row>
    <row r="651" ht="15.75" customHeight="1">
      <c r="C651" s="9"/>
    </row>
    <row r="652" ht="15.75" customHeight="1">
      <c r="C652" s="9"/>
    </row>
    <row r="653" ht="15.75" customHeight="1">
      <c r="C653" s="9"/>
    </row>
    <row r="654" ht="15.75" customHeight="1">
      <c r="C654" s="9"/>
    </row>
    <row r="655" ht="15.75" customHeight="1">
      <c r="C655" s="9"/>
    </row>
    <row r="656" ht="15.75" customHeight="1">
      <c r="C656" s="9"/>
    </row>
    <row r="657" ht="15.75" customHeight="1">
      <c r="C657" s="9"/>
    </row>
    <row r="658" ht="15.75" customHeight="1">
      <c r="C658" s="9"/>
    </row>
    <row r="659" ht="15.75" customHeight="1">
      <c r="C659" s="9"/>
    </row>
    <row r="660" ht="15.75" customHeight="1">
      <c r="C660" s="9"/>
    </row>
    <row r="661" ht="15.75" customHeight="1">
      <c r="C661" s="9"/>
    </row>
    <row r="662" ht="15.75" customHeight="1">
      <c r="C662" s="9"/>
    </row>
    <row r="663" ht="15.75" customHeight="1">
      <c r="C663" s="9"/>
    </row>
    <row r="664" ht="15.75" customHeight="1">
      <c r="C664" s="9"/>
    </row>
    <row r="665" ht="15.75" customHeight="1">
      <c r="C665" s="9"/>
    </row>
    <row r="666" ht="15.75" customHeight="1">
      <c r="C666" s="9"/>
    </row>
    <row r="667" ht="15.75" customHeight="1">
      <c r="C667" s="9"/>
    </row>
    <row r="668" ht="15.75" customHeight="1">
      <c r="C668" s="9"/>
    </row>
    <row r="669" ht="15.75" customHeight="1">
      <c r="C669" s="9"/>
    </row>
    <row r="670" ht="15.75" customHeight="1">
      <c r="C670" s="9"/>
    </row>
    <row r="671" ht="15.75" customHeight="1">
      <c r="C671" s="9"/>
    </row>
    <row r="672" ht="15.75" customHeight="1">
      <c r="C672" s="9"/>
    </row>
    <row r="673" ht="15.75" customHeight="1">
      <c r="C673" s="9"/>
    </row>
    <row r="674" ht="15.75" customHeight="1">
      <c r="C674" s="9"/>
    </row>
    <row r="675" ht="15.75" customHeight="1">
      <c r="C675" s="9"/>
    </row>
    <row r="676" ht="15.75" customHeight="1">
      <c r="C676" s="9"/>
    </row>
    <row r="677" ht="15.75" customHeight="1">
      <c r="C677" s="9"/>
    </row>
    <row r="678" ht="15.75" customHeight="1">
      <c r="C678" s="9"/>
    </row>
    <row r="679" ht="15.75" customHeight="1">
      <c r="C679" s="9"/>
    </row>
    <row r="680" ht="15.75" customHeight="1">
      <c r="C680" s="9"/>
    </row>
    <row r="681" ht="15.75" customHeight="1">
      <c r="C681" s="9"/>
    </row>
    <row r="682" ht="15.75" customHeight="1">
      <c r="C682" s="9"/>
    </row>
    <row r="683" ht="15.75" customHeight="1">
      <c r="C683" s="9"/>
    </row>
    <row r="684" ht="15.75" customHeight="1">
      <c r="C684" s="9"/>
    </row>
    <row r="685" ht="15.75" customHeight="1">
      <c r="C685" s="9"/>
    </row>
    <row r="686" ht="15.75" customHeight="1">
      <c r="C686" s="9"/>
    </row>
    <row r="687" ht="15.75" customHeight="1">
      <c r="C687" s="9"/>
    </row>
    <row r="688" ht="15.75" customHeight="1">
      <c r="C688" s="9"/>
    </row>
    <row r="689" ht="15.75" customHeight="1">
      <c r="C689" s="9"/>
    </row>
    <row r="690" ht="15.75" customHeight="1">
      <c r="C690" s="9"/>
    </row>
    <row r="691" ht="15.75" customHeight="1">
      <c r="C691" s="9"/>
    </row>
    <row r="692" ht="15.75" customHeight="1">
      <c r="C692" s="9"/>
    </row>
    <row r="693" ht="15.75" customHeight="1">
      <c r="C693" s="9"/>
    </row>
    <row r="694" ht="15.75" customHeight="1">
      <c r="C694" s="9"/>
    </row>
    <row r="695" ht="15.75" customHeight="1">
      <c r="C695" s="9"/>
    </row>
    <row r="696" ht="15.75" customHeight="1">
      <c r="C696" s="9"/>
    </row>
    <row r="697" ht="15.75" customHeight="1">
      <c r="C697" s="9"/>
    </row>
    <row r="698" ht="15.75" customHeight="1">
      <c r="C698" s="9"/>
    </row>
    <row r="699" ht="15.75" customHeight="1">
      <c r="C699" s="9"/>
    </row>
    <row r="700" ht="15.75" customHeight="1">
      <c r="C700" s="9"/>
    </row>
    <row r="701" ht="15.75" customHeight="1">
      <c r="C701" s="9"/>
    </row>
    <row r="702" ht="15.75" customHeight="1">
      <c r="C702" s="9"/>
    </row>
    <row r="703" ht="15.75" customHeight="1">
      <c r="C703" s="9"/>
    </row>
    <row r="704" ht="15.75" customHeight="1">
      <c r="C704" s="9"/>
    </row>
    <row r="705" ht="15.75" customHeight="1">
      <c r="C705" s="9"/>
    </row>
    <row r="706" ht="15.75" customHeight="1">
      <c r="C706" s="9"/>
    </row>
    <row r="707" ht="15.75" customHeight="1">
      <c r="C707" s="9"/>
    </row>
    <row r="708" ht="15.75" customHeight="1">
      <c r="C708" s="9"/>
    </row>
    <row r="709" ht="15.75" customHeight="1">
      <c r="C709" s="9"/>
    </row>
    <row r="710" ht="15.75" customHeight="1">
      <c r="C710" s="9"/>
    </row>
    <row r="711" ht="15.75" customHeight="1">
      <c r="C711" s="9"/>
    </row>
    <row r="712" ht="15.75" customHeight="1">
      <c r="C712" s="9"/>
    </row>
    <row r="713" ht="15.75" customHeight="1">
      <c r="C713" s="9"/>
    </row>
    <row r="714" ht="15.75" customHeight="1">
      <c r="C714" s="9"/>
    </row>
    <row r="715" ht="15.75" customHeight="1">
      <c r="C715" s="9"/>
    </row>
    <row r="716" ht="15.75" customHeight="1">
      <c r="C716" s="9"/>
    </row>
    <row r="717" ht="15.75" customHeight="1">
      <c r="C717" s="9"/>
    </row>
    <row r="718" ht="15.75" customHeight="1">
      <c r="C718" s="9"/>
    </row>
    <row r="719" ht="15.75" customHeight="1">
      <c r="C719" s="9"/>
    </row>
    <row r="720" ht="15.75" customHeight="1">
      <c r="C720" s="9"/>
    </row>
    <row r="721" ht="15.75" customHeight="1">
      <c r="C721" s="9"/>
    </row>
    <row r="722" ht="15.75" customHeight="1">
      <c r="C722" s="9"/>
    </row>
    <row r="723" ht="15.75" customHeight="1">
      <c r="C723" s="9"/>
    </row>
    <row r="724" ht="15.75" customHeight="1">
      <c r="C724" s="9"/>
    </row>
    <row r="725" ht="15.75" customHeight="1">
      <c r="C725" s="9"/>
    </row>
    <row r="726" ht="15.75" customHeight="1">
      <c r="C726" s="9"/>
    </row>
    <row r="727" ht="15.75" customHeight="1">
      <c r="C727" s="9"/>
    </row>
    <row r="728" ht="15.75" customHeight="1">
      <c r="C728" s="9"/>
    </row>
    <row r="729" ht="15.75" customHeight="1">
      <c r="C729" s="9"/>
    </row>
    <row r="730" ht="15.75" customHeight="1">
      <c r="C730" s="9"/>
    </row>
    <row r="731" ht="15.75" customHeight="1">
      <c r="C731" s="9"/>
    </row>
    <row r="732" ht="15.75" customHeight="1">
      <c r="C732" s="9"/>
    </row>
    <row r="733" ht="15.75" customHeight="1">
      <c r="C733" s="9"/>
    </row>
    <row r="734" ht="15.75" customHeight="1">
      <c r="C734" s="9"/>
    </row>
    <row r="735" ht="15.75" customHeight="1">
      <c r="C735" s="9"/>
    </row>
    <row r="736" ht="15.75" customHeight="1">
      <c r="C736" s="9"/>
    </row>
    <row r="737" ht="15.75" customHeight="1">
      <c r="C737" s="9"/>
    </row>
    <row r="738" ht="15.75" customHeight="1">
      <c r="C738" s="9"/>
    </row>
    <row r="739" ht="15.75" customHeight="1">
      <c r="C739" s="9"/>
    </row>
    <row r="740" ht="15.75" customHeight="1">
      <c r="C740" s="9"/>
    </row>
    <row r="741" ht="15.75" customHeight="1">
      <c r="C741" s="9"/>
    </row>
    <row r="742" ht="15.75" customHeight="1">
      <c r="C742" s="9"/>
    </row>
    <row r="743" ht="15.75" customHeight="1">
      <c r="C743" s="9"/>
    </row>
    <row r="744" ht="15.75" customHeight="1">
      <c r="C744" s="9"/>
    </row>
    <row r="745" ht="15.75" customHeight="1">
      <c r="C745" s="9"/>
    </row>
    <row r="746" ht="15.75" customHeight="1">
      <c r="C746" s="9"/>
    </row>
    <row r="747" ht="15.75" customHeight="1">
      <c r="C747" s="9"/>
    </row>
    <row r="748" ht="15.75" customHeight="1">
      <c r="C748" s="9"/>
    </row>
    <row r="749" ht="15.75" customHeight="1">
      <c r="C749" s="9"/>
    </row>
    <row r="750" ht="15.75" customHeight="1">
      <c r="C750" s="9"/>
    </row>
    <row r="751" ht="15.75" customHeight="1">
      <c r="C751" s="9"/>
    </row>
    <row r="752" ht="15.75" customHeight="1">
      <c r="C752" s="9"/>
    </row>
    <row r="753" ht="15.75" customHeight="1">
      <c r="C753" s="9"/>
    </row>
    <row r="754" ht="15.75" customHeight="1">
      <c r="C754" s="9"/>
    </row>
    <row r="755" ht="15.75" customHeight="1">
      <c r="C755" s="9"/>
    </row>
    <row r="756" ht="15.75" customHeight="1">
      <c r="C756" s="9"/>
    </row>
    <row r="757" ht="15.75" customHeight="1">
      <c r="C757" s="9"/>
    </row>
    <row r="758" ht="15.75" customHeight="1">
      <c r="C758" s="9"/>
    </row>
    <row r="759" ht="15.75" customHeight="1">
      <c r="C759" s="9"/>
    </row>
    <row r="760" ht="15.75" customHeight="1">
      <c r="C760" s="9"/>
    </row>
    <row r="761" ht="15.75" customHeight="1">
      <c r="C761" s="9"/>
    </row>
    <row r="762" ht="15.75" customHeight="1">
      <c r="C762" s="9"/>
    </row>
    <row r="763" ht="15.75" customHeight="1">
      <c r="C763" s="9"/>
    </row>
    <row r="764" ht="15.75" customHeight="1">
      <c r="C764" s="9"/>
    </row>
    <row r="765" ht="15.75" customHeight="1">
      <c r="C765" s="9"/>
    </row>
    <row r="766" ht="15.75" customHeight="1">
      <c r="C766" s="9"/>
    </row>
    <row r="767" ht="15.75" customHeight="1">
      <c r="C767" s="9"/>
    </row>
    <row r="768" ht="15.75" customHeight="1">
      <c r="C768" s="9"/>
    </row>
    <row r="769" ht="15.75" customHeight="1">
      <c r="C769" s="9"/>
    </row>
    <row r="770" ht="15.75" customHeight="1">
      <c r="C770" s="9"/>
    </row>
    <row r="771" ht="15.75" customHeight="1">
      <c r="C771" s="9"/>
    </row>
    <row r="772" ht="15.75" customHeight="1">
      <c r="C772" s="9"/>
    </row>
    <row r="773" ht="15.75" customHeight="1">
      <c r="C773" s="9"/>
    </row>
    <row r="774" ht="15.75" customHeight="1">
      <c r="C774" s="9"/>
    </row>
    <row r="775" ht="15.75" customHeight="1">
      <c r="C775" s="9"/>
    </row>
    <row r="776" ht="15.75" customHeight="1">
      <c r="C776" s="9"/>
    </row>
    <row r="777" ht="15.75" customHeight="1">
      <c r="C777" s="9"/>
    </row>
    <row r="778" ht="15.75" customHeight="1">
      <c r="C778" s="9"/>
    </row>
    <row r="779" ht="15.75" customHeight="1">
      <c r="C779" s="9"/>
    </row>
    <row r="780" ht="15.75" customHeight="1">
      <c r="C780" s="9"/>
    </row>
    <row r="781" ht="15.75" customHeight="1">
      <c r="C781" s="9"/>
    </row>
    <row r="782" ht="15.75" customHeight="1">
      <c r="C782" s="9"/>
    </row>
    <row r="783" ht="15.75" customHeight="1">
      <c r="C783" s="9"/>
    </row>
    <row r="784" ht="15.75" customHeight="1">
      <c r="C784" s="9"/>
    </row>
    <row r="785" ht="15.75" customHeight="1">
      <c r="C785" s="9"/>
    </row>
    <row r="786" ht="15.75" customHeight="1">
      <c r="C786" s="9"/>
    </row>
    <row r="787" ht="15.75" customHeight="1">
      <c r="C787" s="9"/>
    </row>
    <row r="788" ht="15.75" customHeight="1">
      <c r="C788" s="9"/>
    </row>
    <row r="789" ht="15.75" customHeight="1">
      <c r="C789" s="9"/>
    </row>
    <row r="790" ht="15.75" customHeight="1">
      <c r="C790" s="9"/>
    </row>
    <row r="791" ht="15.75" customHeight="1">
      <c r="C791" s="9"/>
    </row>
    <row r="792" ht="15.75" customHeight="1">
      <c r="C792" s="9"/>
    </row>
    <row r="793" ht="15.75" customHeight="1">
      <c r="C793" s="9"/>
    </row>
    <row r="794" ht="15.75" customHeight="1">
      <c r="C794" s="9"/>
    </row>
    <row r="795" ht="15.75" customHeight="1">
      <c r="C795" s="9"/>
    </row>
    <row r="796" ht="15.75" customHeight="1">
      <c r="C796" s="9"/>
    </row>
    <row r="797" ht="15.75" customHeight="1">
      <c r="C797" s="9"/>
    </row>
    <row r="798" ht="15.75" customHeight="1">
      <c r="C798" s="9"/>
    </row>
    <row r="799" ht="15.75" customHeight="1">
      <c r="C799" s="9"/>
    </row>
    <row r="800" ht="15.75" customHeight="1">
      <c r="C800" s="9"/>
    </row>
    <row r="801" ht="15.75" customHeight="1">
      <c r="C801" s="9"/>
    </row>
    <row r="802" ht="15.75" customHeight="1">
      <c r="C802" s="9"/>
    </row>
    <row r="803" ht="15.75" customHeight="1">
      <c r="C803" s="9"/>
    </row>
    <row r="804" ht="15.75" customHeight="1">
      <c r="C804" s="9"/>
    </row>
    <row r="805" ht="15.75" customHeight="1">
      <c r="C805" s="9"/>
    </row>
    <row r="806" ht="15.75" customHeight="1">
      <c r="C806" s="9"/>
    </row>
    <row r="807" ht="15.75" customHeight="1">
      <c r="C807" s="9"/>
    </row>
    <row r="808" ht="15.75" customHeight="1">
      <c r="C808" s="9"/>
    </row>
    <row r="809" ht="15.75" customHeight="1">
      <c r="C809" s="9"/>
    </row>
    <row r="810" ht="15.75" customHeight="1">
      <c r="C810" s="9"/>
    </row>
    <row r="811" ht="15.75" customHeight="1">
      <c r="C811" s="9"/>
    </row>
    <row r="812" ht="15.75" customHeight="1">
      <c r="C812" s="9"/>
    </row>
    <row r="813" ht="15.75" customHeight="1">
      <c r="C813" s="9"/>
    </row>
    <row r="814" ht="15.75" customHeight="1">
      <c r="C814" s="9"/>
    </row>
    <row r="815" ht="15.75" customHeight="1">
      <c r="C815" s="9"/>
    </row>
    <row r="816" ht="15.75" customHeight="1">
      <c r="C816" s="9"/>
    </row>
    <row r="817" ht="15.75" customHeight="1">
      <c r="C817" s="9"/>
    </row>
    <row r="818" ht="15.75" customHeight="1">
      <c r="C818" s="9"/>
    </row>
    <row r="819" ht="15.75" customHeight="1">
      <c r="C819" s="9"/>
    </row>
    <row r="820" ht="15.75" customHeight="1">
      <c r="C820" s="9"/>
    </row>
    <row r="821" ht="15.75" customHeight="1">
      <c r="C821" s="9"/>
    </row>
    <row r="822" ht="15.75" customHeight="1">
      <c r="C822" s="9"/>
    </row>
    <row r="823" ht="15.75" customHeight="1">
      <c r="C823" s="9"/>
    </row>
    <row r="824" ht="15.75" customHeight="1">
      <c r="C824" s="9"/>
    </row>
    <row r="825" ht="15.75" customHeight="1">
      <c r="C825" s="9"/>
    </row>
    <row r="826" ht="15.75" customHeight="1">
      <c r="C826" s="9"/>
    </row>
    <row r="827" ht="15.75" customHeight="1">
      <c r="C827" s="9"/>
    </row>
    <row r="828" ht="15.75" customHeight="1">
      <c r="C828" s="9"/>
    </row>
    <row r="829" ht="15.75" customHeight="1">
      <c r="C829" s="9"/>
    </row>
    <row r="830" ht="15.75" customHeight="1">
      <c r="C830" s="9"/>
    </row>
    <row r="831" ht="15.75" customHeight="1">
      <c r="C831" s="9"/>
    </row>
    <row r="832" ht="15.75" customHeight="1">
      <c r="C832" s="9"/>
    </row>
    <row r="833" ht="15.75" customHeight="1">
      <c r="C833" s="9"/>
    </row>
    <row r="834" ht="15.75" customHeight="1">
      <c r="C834" s="9"/>
    </row>
    <row r="835" ht="15.75" customHeight="1">
      <c r="C835" s="9"/>
    </row>
    <row r="836" ht="15.75" customHeight="1">
      <c r="C836" s="9"/>
    </row>
    <row r="837" ht="15.75" customHeight="1">
      <c r="C837" s="9"/>
    </row>
    <row r="838" ht="15.75" customHeight="1">
      <c r="C838" s="9"/>
    </row>
    <row r="839" ht="15.75" customHeight="1">
      <c r="C839" s="9"/>
    </row>
    <row r="840" ht="15.75" customHeight="1">
      <c r="C840" s="9"/>
    </row>
    <row r="841" ht="15.75" customHeight="1">
      <c r="C841" s="9"/>
    </row>
    <row r="842" ht="15.75" customHeight="1">
      <c r="C842" s="9"/>
    </row>
    <row r="843" ht="15.75" customHeight="1">
      <c r="C843" s="9"/>
    </row>
    <row r="844" ht="15.75" customHeight="1">
      <c r="C844" s="9"/>
    </row>
    <row r="845" ht="15.75" customHeight="1">
      <c r="C845" s="9"/>
    </row>
    <row r="846" ht="15.75" customHeight="1">
      <c r="C846" s="9"/>
    </row>
    <row r="847" ht="15.75" customHeight="1">
      <c r="C847" s="9"/>
    </row>
    <row r="848" ht="15.75" customHeight="1">
      <c r="C848" s="9"/>
    </row>
    <row r="849" ht="15.75" customHeight="1">
      <c r="C849" s="9"/>
    </row>
    <row r="850" ht="15.75" customHeight="1">
      <c r="C850" s="9"/>
    </row>
    <row r="851" ht="15.75" customHeight="1">
      <c r="C851" s="9"/>
    </row>
    <row r="852" ht="15.75" customHeight="1">
      <c r="C852" s="9"/>
    </row>
    <row r="853" ht="15.75" customHeight="1">
      <c r="C853" s="9"/>
    </row>
    <row r="854" ht="15.75" customHeight="1">
      <c r="C854" s="9"/>
    </row>
    <row r="855" ht="15.75" customHeight="1">
      <c r="C855" s="9"/>
    </row>
    <row r="856" ht="15.75" customHeight="1">
      <c r="C856" s="9"/>
    </row>
    <row r="857" ht="15.75" customHeight="1">
      <c r="C857" s="9"/>
    </row>
    <row r="858" ht="15.75" customHeight="1">
      <c r="C858" s="9"/>
    </row>
    <row r="859" ht="15.75" customHeight="1">
      <c r="C859" s="9"/>
    </row>
    <row r="860" ht="15.75" customHeight="1">
      <c r="C860" s="9"/>
    </row>
    <row r="861" ht="15.75" customHeight="1">
      <c r="C861" s="9"/>
    </row>
    <row r="862" ht="15.75" customHeight="1">
      <c r="C862" s="9"/>
    </row>
    <row r="863" ht="15.75" customHeight="1">
      <c r="C863" s="9"/>
    </row>
    <row r="864" ht="15.75" customHeight="1">
      <c r="C864" s="9"/>
    </row>
    <row r="865" ht="15.75" customHeight="1">
      <c r="C865" s="9"/>
    </row>
    <row r="866" ht="15.75" customHeight="1">
      <c r="C866" s="9"/>
    </row>
    <row r="867" ht="15.75" customHeight="1">
      <c r="C867" s="9"/>
    </row>
    <row r="868" ht="15.75" customHeight="1">
      <c r="C868" s="9"/>
    </row>
    <row r="869" ht="15.75" customHeight="1">
      <c r="C869" s="9"/>
    </row>
    <row r="870" ht="15.75" customHeight="1">
      <c r="C870" s="9"/>
    </row>
    <row r="871" ht="15.75" customHeight="1">
      <c r="C871" s="9"/>
    </row>
    <row r="872" ht="15.75" customHeight="1">
      <c r="C872" s="9"/>
    </row>
    <row r="873" ht="15.75" customHeight="1">
      <c r="C873" s="9"/>
    </row>
    <row r="874" ht="15.75" customHeight="1">
      <c r="C874" s="9"/>
    </row>
    <row r="875" ht="15.75" customHeight="1">
      <c r="C875" s="9"/>
    </row>
    <row r="876" ht="15.75" customHeight="1">
      <c r="C876" s="9"/>
    </row>
    <row r="877" ht="15.75" customHeight="1">
      <c r="C877" s="9"/>
    </row>
    <row r="878" ht="15.75" customHeight="1">
      <c r="C878" s="9"/>
    </row>
    <row r="879" ht="15.75" customHeight="1">
      <c r="C879" s="9"/>
    </row>
    <row r="880" ht="15.75" customHeight="1">
      <c r="C880" s="9"/>
    </row>
    <row r="881" ht="15.75" customHeight="1">
      <c r="C881" s="9"/>
    </row>
    <row r="882" ht="15.75" customHeight="1">
      <c r="C882" s="9"/>
    </row>
    <row r="883" ht="15.75" customHeight="1">
      <c r="C883" s="9"/>
    </row>
    <row r="884" ht="15.75" customHeight="1">
      <c r="C884" s="9"/>
    </row>
    <row r="885" ht="15.75" customHeight="1">
      <c r="C885" s="9"/>
    </row>
    <row r="886" ht="15.75" customHeight="1">
      <c r="C886" s="9"/>
    </row>
    <row r="887" ht="15.75" customHeight="1">
      <c r="C887" s="9"/>
    </row>
    <row r="888" ht="15.75" customHeight="1">
      <c r="C888" s="9"/>
    </row>
    <row r="889" ht="15.75" customHeight="1">
      <c r="C889" s="9"/>
    </row>
    <row r="890" ht="15.75" customHeight="1">
      <c r="C890" s="9"/>
    </row>
    <row r="891" ht="15.75" customHeight="1">
      <c r="C891" s="9"/>
    </row>
    <row r="892" ht="15.75" customHeight="1">
      <c r="C892" s="9"/>
    </row>
    <row r="893" ht="15.75" customHeight="1">
      <c r="C893" s="9"/>
    </row>
    <row r="894" ht="15.75" customHeight="1">
      <c r="C894" s="9"/>
    </row>
    <row r="895" ht="15.75" customHeight="1">
      <c r="C895" s="9"/>
    </row>
    <row r="896" ht="15.75" customHeight="1">
      <c r="C896" s="9"/>
    </row>
    <row r="897" ht="15.75" customHeight="1">
      <c r="C897" s="9"/>
    </row>
    <row r="898" ht="15.75" customHeight="1">
      <c r="C898" s="9"/>
    </row>
    <row r="899" ht="15.75" customHeight="1">
      <c r="C899" s="9"/>
    </row>
    <row r="900" ht="15.75" customHeight="1">
      <c r="C900" s="9"/>
    </row>
    <row r="901" ht="15.75" customHeight="1">
      <c r="C901" s="9"/>
    </row>
    <row r="902" ht="15.75" customHeight="1">
      <c r="C902" s="9"/>
    </row>
    <row r="903" ht="15.75" customHeight="1">
      <c r="C903" s="9"/>
    </row>
    <row r="904" ht="15.75" customHeight="1">
      <c r="C904" s="9"/>
    </row>
    <row r="905" ht="15.75" customHeight="1">
      <c r="C905" s="9"/>
    </row>
    <row r="906" ht="15.75" customHeight="1">
      <c r="C906" s="9"/>
    </row>
    <row r="907" ht="15.75" customHeight="1">
      <c r="C907" s="9"/>
    </row>
    <row r="908" ht="15.75" customHeight="1">
      <c r="C908" s="9"/>
    </row>
    <row r="909" ht="15.75" customHeight="1">
      <c r="C909" s="9"/>
    </row>
    <row r="910" ht="15.75" customHeight="1">
      <c r="C910" s="9"/>
    </row>
    <row r="911" ht="15.75" customHeight="1">
      <c r="C911" s="9"/>
    </row>
    <row r="912" ht="15.75" customHeight="1">
      <c r="C912" s="9"/>
    </row>
    <row r="913" ht="15.75" customHeight="1">
      <c r="C913" s="9"/>
    </row>
    <row r="914" ht="15.75" customHeight="1">
      <c r="C914" s="9"/>
    </row>
    <row r="915" ht="15.75" customHeight="1">
      <c r="C915" s="9"/>
    </row>
    <row r="916" ht="15.75" customHeight="1">
      <c r="C916" s="9"/>
    </row>
    <row r="917" ht="15.75" customHeight="1">
      <c r="C917" s="9"/>
    </row>
    <row r="918" ht="15.75" customHeight="1">
      <c r="C918" s="9"/>
    </row>
    <row r="919" ht="15.75" customHeight="1">
      <c r="C919" s="9"/>
    </row>
    <row r="920" ht="15.75" customHeight="1">
      <c r="C920" s="9"/>
    </row>
    <row r="921" ht="15.75" customHeight="1">
      <c r="C921" s="9"/>
    </row>
    <row r="922" ht="15.75" customHeight="1">
      <c r="C922" s="9"/>
    </row>
    <row r="923" ht="15.75" customHeight="1">
      <c r="C923" s="9"/>
    </row>
    <row r="924" ht="15.75" customHeight="1">
      <c r="C924" s="9"/>
    </row>
    <row r="925" ht="15.75" customHeight="1">
      <c r="C925" s="9"/>
    </row>
    <row r="926" ht="15.75" customHeight="1">
      <c r="C926" s="9"/>
    </row>
    <row r="927" ht="15.75" customHeight="1">
      <c r="C927" s="9"/>
    </row>
    <row r="928" ht="15.75" customHeight="1">
      <c r="C928" s="9"/>
    </row>
    <row r="929" ht="15.75" customHeight="1">
      <c r="C929" s="9"/>
    </row>
    <row r="930" ht="15.75" customHeight="1">
      <c r="C930" s="9"/>
    </row>
    <row r="931" ht="15.75" customHeight="1">
      <c r="C931" s="9"/>
    </row>
    <row r="932" ht="15.75" customHeight="1">
      <c r="C932" s="9"/>
    </row>
    <row r="933" ht="15.75" customHeight="1">
      <c r="C933" s="9"/>
    </row>
    <row r="934" ht="15.75" customHeight="1">
      <c r="C934" s="9"/>
    </row>
    <row r="935" ht="15.75" customHeight="1">
      <c r="C935" s="9"/>
    </row>
    <row r="936" ht="15.75" customHeight="1">
      <c r="C936" s="9"/>
    </row>
    <row r="937" ht="15.75" customHeight="1">
      <c r="C937" s="9"/>
    </row>
    <row r="938" ht="15.75" customHeight="1">
      <c r="C938" s="9"/>
    </row>
    <row r="939" ht="15.75" customHeight="1">
      <c r="C939" s="9"/>
    </row>
    <row r="940" ht="15.75" customHeight="1">
      <c r="C940" s="9"/>
    </row>
    <row r="941" ht="15.75" customHeight="1">
      <c r="C941" s="9"/>
    </row>
    <row r="942" ht="15.75" customHeight="1">
      <c r="C942" s="9"/>
    </row>
    <row r="943" ht="15.75" customHeight="1">
      <c r="C943" s="9"/>
    </row>
    <row r="944" ht="15.75" customHeight="1">
      <c r="C944" s="9"/>
    </row>
    <row r="945" ht="15.75" customHeight="1">
      <c r="C945" s="9"/>
    </row>
    <row r="946" ht="15.75" customHeight="1">
      <c r="C946" s="9"/>
    </row>
    <row r="947" ht="15.75" customHeight="1">
      <c r="C947" s="9"/>
    </row>
    <row r="948" ht="15.75" customHeight="1">
      <c r="C948" s="9"/>
    </row>
    <row r="949" ht="15.75" customHeight="1">
      <c r="C949" s="9"/>
    </row>
    <row r="950" ht="15.75" customHeight="1">
      <c r="C950" s="9"/>
    </row>
    <row r="951" ht="15.75" customHeight="1">
      <c r="C951" s="9"/>
    </row>
    <row r="952" ht="15.75" customHeight="1">
      <c r="C952" s="9"/>
    </row>
    <row r="953" ht="15.75" customHeight="1">
      <c r="C953" s="9"/>
    </row>
    <row r="954" ht="15.75" customHeight="1">
      <c r="C954" s="9"/>
    </row>
    <row r="955" ht="15.75" customHeight="1">
      <c r="C955" s="9"/>
    </row>
    <row r="956" ht="15.75" customHeight="1">
      <c r="C956" s="9"/>
    </row>
    <row r="957" ht="15.75" customHeight="1">
      <c r="C957" s="9"/>
    </row>
    <row r="958" ht="15.75" customHeight="1">
      <c r="C958" s="9"/>
    </row>
    <row r="959" ht="15.75" customHeight="1">
      <c r="C959" s="9"/>
    </row>
    <row r="960" ht="15.75" customHeight="1">
      <c r="C960" s="9"/>
    </row>
    <row r="961" ht="15.75" customHeight="1">
      <c r="C961" s="9"/>
    </row>
    <row r="962" ht="15.75" customHeight="1">
      <c r="C962" s="9"/>
    </row>
    <row r="963" ht="15.75" customHeight="1">
      <c r="C963" s="9"/>
    </row>
    <row r="964" ht="15.75" customHeight="1">
      <c r="C964" s="9"/>
    </row>
    <row r="965" ht="15.75" customHeight="1">
      <c r="C965" s="9"/>
    </row>
    <row r="966" ht="15.75" customHeight="1">
      <c r="C966" s="9"/>
    </row>
    <row r="967" ht="15.75" customHeight="1">
      <c r="C967" s="9"/>
    </row>
    <row r="968" ht="15.75" customHeight="1">
      <c r="C968" s="9"/>
    </row>
    <row r="969" ht="15.75" customHeight="1">
      <c r="C969" s="9"/>
    </row>
    <row r="970" ht="15.75" customHeight="1">
      <c r="C970" s="9"/>
    </row>
    <row r="971" ht="15.75" customHeight="1">
      <c r="C971" s="9"/>
    </row>
    <row r="972" ht="15.75" customHeight="1">
      <c r="C972" s="9"/>
    </row>
    <row r="973" ht="15.75" customHeight="1">
      <c r="C973" s="9"/>
    </row>
    <row r="974" ht="15.75" customHeight="1">
      <c r="C974" s="9"/>
    </row>
    <row r="975" ht="15.75" customHeight="1">
      <c r="C975" s="9"/>
    </row>
    <row r="976" ht="15.75" customHeight="1">
      <c r="C976" s="9"/>
    </row>
    <row r="977" ht="15.75" customHeight="1">
      <c r="C977" s="9"/>
    </row>
    <row r="978" ht="15.75" customHeight="1">
      <c r="C978" s="9"/>
    </row>
    <row r="979" ht="15.75" customHeight="1">
      <c r="C979" s="9"/>
    </row>
    <row r="980" ht="15.75" customHeight="1">
      <c r="C980" s="9"/>
    </row>
    <row r="981" ht="15.75" customHeight="1">
      <c r="C981" s="9"/>
    </row>
    <row r="982" ht="15.75" customHeight="1">
      <c r="C982" s="9"/>
    </row>
    <row r="983" ht="15.75" customHeight="1">
      <c r="C983" s="9"/>
    </row>
    <row r="984" ht="15.75" customHeight="1">
      <c r="C984" s="9"/>
    </row>
    <row r="985" ht="15.75" customHeight="1">
      <c r="C985" s="9"/>
    </row>
    <row r="986" ht="15.75" customHeight="1">
      <c r="C986" s="9"/>
    </row>
    <row r="987" ht="15.75" customHeight="1">
      <c r="C987" s="9"/>
    </row>
    <row r="988" ht="15.75" customHeight="1">
      <c r="C988" s="9"/>
    </row>
    <row r="989" ht="15.75" customHeight="1">
      <c r="C989" s="9"/>
    </row>
    <row r="990" ht="15.75" customHeight="1">
      <c r="C990" s="9"/>
    </row>
    <row r="991" ht="15.75" customHeight="1">
      <c r="C991" s="9"/>
    </row>
    <row r="992" ht="15.75" customHeight="1">
      <c r="C992" s="9"/>
    </row>
    <row r="993" ht="15.75" customHeight="1">
      <c r="C993" s="9"/>
    </row>
    <row r="994" ht="15.75" customHeight="1">
      <c r="C994" s="9"/>
    </row>
    <row r="995" ht="15.75" customHeight="1">
      <c r="C995" s="9"/>
    </row>
    <row r="996" ht="15.75" customHeight="1">
      <c r="C996" s="9"/>
    </row>
    <row r="997" ht="15.75" customHeight="1">
      <c r="C997" s="9"/>
    </row>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2025-12-03T04:20:40Z</dcterms:created>
  <dc:creator>openpyxl</dc:creator>
</cp:coreProperties>
</file>